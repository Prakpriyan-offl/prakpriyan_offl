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D:\excel\"/>
    </mc:Choice>
  </mc:AlternateContent>
  <xr:revisionPtr revIDLastSave="0" documentId="13_ncr:1_{51F37DF1-F0D2-4255-8276-DB4421F7EB14}" xr6:coauthVersionLast="47" xr6:coauthVersionMax="47" xr10:uidLastSave="{00000000-0000-0000-0000-000000000000}"/>
  <bookViews>
    <workbookView xWindow="-108" yWindow="-108" windowWidth="23256" windowHeight="13176" xr2:uid="{6B96F70F-3860-4945-A7BF-FD3DC2812FD8}"/>
  </bookViews>
  <sheets>
    <sheet name="Dashboard" sheetId="2" r:id="rId1"/>
    <sheet name="Pivot Table" sheetId="3" r:id="rId2"/>
    <sheet name="sales_data" sheetId="1" r:id="rId3"/>
  </sheets>
  <definedNames>
    <definedName name="Slicer_Product">#N/A</definedName>
    <definedName name="Slicer_Region">#N/A</definedName>
    <definedName name="Slicer_Sales_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K11" i="1" l="1"/>
  <c r="K9" i="1"/>
  <c r="K7" i="1"/>
  <c r="K5" i="1"/>
</calcChain>
</file>

<file path=xl/sharedStrings.xml><?xml version="1.0" encoding="utf-8"?>
<sst xmlns="http://schemas.openxmlformats.org/spreadsheetml/2006/main" count="645" uniqueCount="32">
  <si>
    <t>Date</t>
  </si>
  <si>
    <t>Sales Person</t>
  </si>
  <si>
    <t>Region</t>
  </si>
  <si>
    <t>Product</t>
  </si>
  <si>
    <t>Unit Sold</t>
  </si>
  <si>
    <t>Unit Price</t>
  </si>
  <si>
    <t>Cost of Goods</t>
  </si>
  <si>
    <t>Total Sales</t>
  </si>
  <si>
    <t>Profit</t>
  </si>
  <si>
    <t>Charlie Lee</t>
  </si>
  <si>
    <t>East</t>
  </si>
  <si>
    <t>Smartphone</t>
  </si>
  <si>
    <t>Alice Johnson</t>
  </si>
  <si>
    <t>North</t>
  </si>
  <si>
    <t>Laptop</t>
  </si>
  <si>
    <t>Bob Smith</t>
  </si>
  <si>
    <t>Printer</t>
  </si>
  <si>
    <t>Ethan Brown</t>
  </si>
  <si>
    <t>Tablet</t>
  </si>
  <si>
    <t>Diana Carter</t>
  </si>
  <si>
    <t>West</t>
  </si>
  <si>
    <t>South</t>
  </si>
  <si>
    <t>Monitor</t>
  </si>
  <si>
    <t>Grand total</t>
  </si>
  <si>
    <t>Total Profit</t>
  </si>
  <si>
    <t>Average</t>
  </si>
  <si>
    <t>Unit sold</t>
  </si>
  <si>
    <t>Row Labels</t>
  </si>
  <si>
    <t>Grand Total</t>
  </si>
  <si>
    <t>Sum of Total Sales</t>
  </si>
  <si>
    <t>Sum of Unit Sold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</si>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</sst>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 L&quot;"/>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1"/>
      <color rgb="FF004F8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33" borderId="0" xfId="0" applyFill="1"/>
    <xf numFmtId="0" fontId="0" fillId="0" borderId="0" xfId="0" pivotButton="1"/>
    <xf numFmtId="0" fontId="0" fillId="0" borderId="0" xfId="0" applyAlignment="1">
      <alignment horizontal="left"/>
    </xf>
    <xf numFmtId="164" fontId="0" fillId="0" borderId="0" xfId="0" applyNumberFormat="1"/>
    <xf numFmtId="0" fontId="18"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[mini.xlsx]Pivot Table!PivotTable6</c:name>
    <c:fmtId val="6"/>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17"/>
          <c:spPr>
            <a:solidFill>
              <a:schemeClr val="accent1"/>
            </a:solidFill>
            <a:ln>
              <a:noFill/>
            </a:ln>
            <a:effectLst/>
          </c:spPr>
        </c:marker>
        <c:dLbl>
          <c:idx val="0"/>
          <c:layout>
            <c:manualLayout>
              <c:x val="-6.1938624217741475E-2"/>
              <c:y val="-0.109473604362393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layout>
            <c:manualLayout>
              <c:x val="-5.4279995770610746E-2"/>
              <c:y val="-0.186105127416069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1"/>
            </a:solidFill>
            <a:ln>
              <a:noFill/>
            </a:ln>
            <a:effectLst/>
          </c:spPr>
        </c:marker>
        <c:dLbl>
          <c:idx val="0"/>
          <c:layout>
            <c:manualLayout>
              <c:x val="-6.4097516661719908E-2"/>
              <c:y val="-8.75788834899150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17"/>
          <c:spPr>
            <a:solidFill>
              <a:schemeClr val="accent1"/>
            </a:solidFill>
            <a:ln>
              <a:noFill/>
            </a:ln>
            <a:effectLst/>
          </c:spPr>
        </c:marker>
        <c:dLbl>
          <c:idx val="0"/>
          <c:layout>
            <c:manualLayout>
              <c:x val="-5.2121103326632424E-2"/>
              <c:y val="-0.131368325234872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17"/>
          <c:spPr>
            <a:solidFill>
              <a:schemeClr val="accent1"/>
            </a:solidFill>
            <a:ln>
              <a:noFill/>
            </a:ln>
            <a:effectLst/>
          </c:spPr>
        </c:marker>
        <c:dLbl>
          <c:idx val="0"/>
          <c:layout>
            <c:manualLayout>
              <c:x val="-6.7233350434481351E-2"/>
              <c:y val="-0.169684086761710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Table'!$L$4</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Pt>
            <c:idx val="0"/>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2-D5A1-4780-A681-93450C1001E5}"/>
              </c:ext>
            </c:extLst>
          </c:dPt>
          <c:dPt>
            <c:idx val="1"/>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3-D5A1-4780-A681-93450C1001E5}"/>
              </c:ext>
            </c:extLst>
          </c:dPt>
          <c:dPt>
            <c:idx val="2"/>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4-D5A1-4780-A681-93450C1001E5}"/>
              </c:ext>
            </c:extLst>
          </c:dPt>
          <c:dPt>
            <c:idx val="3"/>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1-D5A1-4780-A681-93450C1001E5}"/>
              </c:ext>
            </c:extLst>
          </c:dPt>
          <c:dPt>
            <c:idx val="4"/>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5-D5A1-4780-A681-93450C1001E5}"/>
              </c:ext>
            </c:extLst>
          </c:dPt>
          <c:dLbls>
            <c:dLbl>
              <c:idx val="0"/>
              <c:layout>
                <c:manualLayout>
                  <c:x val="-6.1938624217741475E-2"/>
                  <c:y val="-0.1094736043623938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A1-4780-A681-93450C1001E5}"/>
                </c:ext>
              </c:extLst>
            </c:dLbl>
            <c:dLbl>
              <c:idx val="1"/>
              <c:layout>
                <c:manualLayout>
                  <c:x val="-5.4279995770610746E-2"/>
                  <c:y val="-0.1861051274160695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A1-4780-A681-93450C1001E5}"/>
                </c:ext>
              </c:extLst>
            </c:dLbl>
            <c:dLbl>
              <c:idx val="2"/>
              <c:layout>
                <c:manualLayout>
                  <c:x val="-6.4097516661719908E-2"/>
                  <c:y val="-8.75788834899150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5A1-4780-A681-93450C1001E5}"/>
                </c:ext>
              </c:extLst>
            </c:dLbl>
            <c:dLbl>
              <c:idx val="3"/>
              <c:layout>
                <c:manualLayout>
                  <c:x val="-5.2121103326632424E-2"/>
                  <c:y val="-0.1313683252348726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A1-4780-A681-93450C1001E5}"/>
                </c:ext>
              </c:extLst>
            </c:dLbl>
            <c:dLbl>
              <c:idx val="4"/>
              <c:layout>
                <c:manualLayout>
                  <c:x val="-6.7233350434481351E-2"/>
                  <c:y val="-0.1696840867617104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A1-4780-A681-93450C1001E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noFill/>
                    </a:ln>
                    <a:effectLst/>
                  </c:spPr>
                </c15:leaderLines>
              </c:ext>
            </c:extLst>
          </c:dLbls>
          <c:cat>
            <c:strRef>
              <c:f>'Pivot Table'!$K$5:$K$10</c:f>
              <c:strCache>
                <c:ptCount val="5"/>
                <c:pt idx="0">
                  <c:v>Laptop</c:v>
                </c:pt>
                <c:pt idx="1">
                  <c:v>Monitor</c:v>
                </c:pt>
                <c:pt idx="2">
                  <c:v>Printer</c:v>
                </c:pt>
                <c:pt idx="3">
                  <c:v>Smartphone</c:v>
                </c:pt>
                <c:pt idx="4">
                  <c:v>Tablet</c:v>
                </c:pt>
              </c:strCache>
            </c:strRef>
          </c:cat>
          <c:val>
            <c:numRef>
              <c:f>'Pivot Table'!$L$5:$L$10</c:f>
              <c:numCache>
                <c:formatCode>General</c:formatCode>
                <c:ptCount val="5"/>
                <c:pt idx="0">
                  <c:v>1138</c:v>
                </c:pt>
                <c:pt idx="1">
                  <c:v>930</c:v>
                </c:pt>
                <c:pt idx="2">
                  <c:v>1201</c:v>
                </c:pt>
                <c:pt idx="3">
                  <c:v>928</c:v>
                </c:pt>
                <c:pt idx="4">
                  <c:v>774</c:v>
                </c:pt>
              </c:numCache>
            </c:numRef>
          </c:val>
          <c:smooth val="0"/>
          <c:extLst>
            <c:ext xmlns:c16="http://schemas.microsoft.com/office/drawing/2014/chart" uri="{C3380CC4-5D6E-409C-BE32-E72D297353CC}">
              <c16:uniqueId val="{00000000-D5A1-4780-A681-93450C1001E5}"/>
            </c:ext>
          </c:extLst>
        </c:ser>
        <c:dLbls>
          <c:dLblPos val="ctr"/>
          <c:showLegendKey val="0"/>
          <c:showVal val="1"/>
          <c:showCatName val="0"/>
          <c:showSerName val="0"/>
          <c:showPercent val="0"/>
          <c:showBubbleSize val="0"/>
        </c:dLbls>
        <c:marker val="1"/>
        <c:smooth val="0"/>
        <c:axId val="1873926064"/>
        <c:axId val="1873927504"/>
      </c:lineChart>
      <c:catAx>
        <c:axId val="18739260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73927504"/>
        <c:crosses val="autoZero"/>
        <c:auto val="1"/>
        <c:lblAlgn val="ctr"/>
        <c:lblOffset val="100"/>
        <c:noMultiLvlLbl val="0"/>
      </c:catAx>
      <c:valAx>
        <c:axId val="1873927504"/>
        <c:scaling>
          <c:orientation val="minMax"/>
        </c:scaling>
        <c:delete val="1"/>
        <c:axPos val="l"/>
        <c:numFmt formatCode="General" sourceLinked="1"/>
        <c:majorTickMark val="none"/>
        <c:minorTickMark val="none"/>
        <c:tickLblPos val="nextTo"/>
        <c:crossAx val="1873926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[mini.xlsx]Pivot Table!PivotTable3</c:name>
    <c:fmtId val="5"/>
  </c:pivotSource>
  <c:chart>
    <c:autoTitleDeleted val="1"/>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dLbl>
          <c:idx val="0"/>
          <c:layout>
            <c:manualLayout>
              <c:x val="0.21696877147839708"/>
              <c:y val="8.7777788690888675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
        <c:dLbl>
          <c:idx val="0"/>
          <c:layout>
            <c:manualLayout>
              <c:x val="0.1835889604817206"/>
              <c:y val="-0.12935674122867805"/>
            </c:manualLayout>
          </c:layout>
          <c:showLegendKey val="0"/>
          <c:showVal val="1"/>
          <c:showCatName val="0"/>
          <c:showSerName val="0"/>
          <c:showPercent val="1"/>
          <c:showBubbleSize val="0"/>
          <c:extLst>
            <c:ext xmlns:c15="http://schemas.microsoft.com/office/drawing/2012/chart" uri="{CE6537A1-D6FC-4f65-9D91-7224C49458BB}"/>
          </c:extLst>
        </c:dLbl>
      </c:pivotFmt>
      <c:pivotFmt>
        <c:idx val="3"/>
        <c:dLbl>
          <c:idx val="0"/>
          <c:layout>
            <c:manualLayout>
              <c:x val="-0.1835889604817206"/>
              <c:y val="-0.11549709038274829"/>
            </c:manualLayout>
          </c:layout>
          <c:showLegendKey val="0"/>
          <c:showVal val="1"/>
          <c:showCatName val="0"/>
          <c:showSerName val="0"/>
          <c:showPercent val="1"/>
          <c:showBubbleSize val="0"/>
          <c:extLst>
            <c:ext xmlns:c15="http://schemas.microsoft.com/office/drawing/2012/chart" uri="{CE6537A1-D6FC-4f65-9D91-7224C49458BB}"/>
          </c:extLst>
        </c:dLbl>
      </c:pivotFmt>
      <c:pivotFmt>
        <c:idx val="4"/>
        <c:dLbl>
          <c:idx val="0"/>
          <c:layout>
            <c:manualLayout>
              <c:x val="-0.15020914948504416"/>
              <c:y val="0.15707604292053756"/>
            </c:manualLayout>
          </c:layout>
          <c:showLegendKey val="0"/>
          <c:showVal val="1"/>
          <c:showCatName val="0"/>
          <c:showSerName val="0"/>
          <c:showPercent val="1"/>
          <c:showBubbleSize val="0"/>
          <c:extLst>
            <c:ext xmlns:c15="http://schemas.microsoft.com/office/drawing/2012/chart" uri="{CE6537A1-D6FC-4f65-9D91-7224C49458BB}"/>
          </c:extLst>
        </c:dLbl>
      </c:pivotFmt>
      <c:pivotFmt>
        <c:idx val="5"/>
        <c:dLbl>
          <c:idx val="0"/>
          <c:showLegendKey val="0"/>
          <c:showVal val="1"/>
          <c:showCatName val="0"/>
          <c:showSerName val="0"/>
          <c:showPercent val="1"/>
          <c:showBubbleSize val="0"/>
          <c:extLst>
            <c:ext xmlns:c15="http://schemas.microsoft.com/office/drawing/2012/chart" uri="{CE6537A1-D6FC-4f65-9D91-7224C49458BB}"/>
          </c:extLst>
        </c:dLbl>
      </c:pivotFmt>
      <c:pivotFmt>
        <c:idx val="6"/>
        <c:dLbl>
          <c:idx val="0"/>
          <c:layout>
            <c:manualLayout>
              <c:x val="0.1835889604817206"/>
              <c:y val="-0.12935674122867805"/>
            </c:manualLayout>
          </c:layout>
          <c:showLegendKey val="0"/>
          <c:showVal val="1"/>
          <c:showCatName val="0"/>
          <c:showSerName val="0"/>
          <c:showPercent val="1"/>
          <c:showBubbleSize val="0"/>
          <c:extLst>
            <c:ext xmlns:c15="http://schemas.microsoft.com/office/drawing/2012/chart" uri="{CE6537A1-D6FC-4f65-9D91-7224C49458BB}"/>
          </c:extLst>
        </c:dLbl>
      </c:pivotFmt>
      <c:pivotFmt>
        <c:idx val="7"/>
        <c:dLbl>
          <c:idx val="0"/>
          <c:layout>
            <c:manualLayout>
              <c:x val="0.21696877147839708"/>
              <c:y val="8.7777788690888675E-2"/>
            </c:manualLayout>
          </c:layout>
          <c:showLegendKey val="0"/>
          <c:showVal val="1"/>
          <c:showCatName val="0"/>
          <c:showSerName val="0"/>
          <c:showPercent val="1"/>
          <c:showBubbleSize val="0"/>
          <c:extLst>
            <c:ext xmlns:c15="http://schemas.microsoft.com/office/drawing/2012/chart" uri="{CE6537A1-D6FC-4f65-9D91-7224C49458BB}"/>
          </c:extLst>
        </c:dLbl>
      </c:pivotFmt>
      <c:pivotFmt>
        <c:idx val="8"/>
        <c:dLbl>
          <c:idx val="0"/>
          <c:layout>
            <c:manualLayout>
              <c:x val="-0.15020914948504416"/>
              <c:y val="0.15707604292053756"/>
            </c:manualLayout>
          </c:layout>
          <c:showLegendKey val="0"/>
          <c:showVal val="1"/>
          <c:showCatName val="0"/>
          <c:showSerName val="0"/>
          <c:showPercent val="1"/>
          <c:showBubbleSize val="0"/>
          <c:extLst>
            <c:ext xmlns:c15="http://schemas.microsoft.com/office/drawing/2012/chart" uri="{CE6537A1-D6FC-4f65-9D91-7224C49458BB}"/>
          </c:extLst>
        </c:dLbl>
      </c:pivotFmt>
      <c:pivotFmt>
        <c:idx val="9"/>
        <c:dLbl>
          <c:idx val="0"/>
          <c:layout>
            <c:manualLayout>
              <c:x val="-0.1835889604817206"/>
              <c:y val="-0.11549709038274829"/>
            </c:manualLayout>
          </c:layout>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4519285879784877"/>
              <c:y val="-0.1205977660925611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9601035937709596"/>
              <c:y val="6.532378996680386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2825369193809982"/>
              <c:y val="0.1557721145362247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4761273977781306"/>
              <c:y val="-8.542341764889750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94-4601-A551-1EF1DD2E40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94-4601-A551-1EF1DD2E40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94-4601-A551-1EF1DD2E40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994-4601-A551-1EF1DD2E408C}"/>
              </c:ext>
            </c:extLst>
          </c:dPt>
          <c:dLbls>
            <c:dLbl>
              <c:idx val="0"/>
              <c:layout>
                <c:manualLayout>
                  <c:x val="0.14519285879784877"/>
                  <c:y val="-0.120597766092561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94-4601-A551-1EF1DD2E408C}"/>
                </c:ext>
              </c:extLst>
            </c:dLbl>
            <c:dLbl>
              <c:idx val="1"/>
              <c:layout>
                <c:manualLayout>
                  <c:x val="0.19601035937709596"/>
                  <c:y val="6.53237899668038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994-4601-A551-1EF1DD2E408C}"/>
                </c:ext>
              </c:extLst>
            </c:dLbl>
            <c:dLbl>
              <c:idx val="2"/>
              <c:layout>
                <c:manualLayout>
                  <c:x val="-0.12825369193809982"/>
                  <c:y val="0.155772114536224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994-4601-A551-1EF1DD2E408C}"/>
                </c:ext>
              </c:extLst>
            </c:dLbl>
            <c:dLbl>
              <c:idx val="3"/>
              <c:layout>
                <c:manualLayout>
                  <c:x val="-0.14761273977781306"/>
                  <c:y val="-8.542341764889750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994-4601-A551-1EF1DD2E408C}"/>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#\.00," L"</c:formatCode>
                <c:ptCount val="4"/>
                <c:pt idx="0">
                  <c:v>1487835</c:v>
                </c:pt>
                <c:pt idx="1">
                  <c:v>1369664</c:v>
                </c:pt>
                <c:pt idx="2">
                  <c:v>1176870</c:v>
                </c:pt>
                <c:pt idx="3">
                  <c:v>1081203</c:v>
                </c:pt>
              </c:numCache>
            </c:numRef>
          </c:val>
          <c:extLst>
            <c:ext xmlns:c16="http://schemas.microsoft.com/office/drawing/2014/chart" uri="{C3380CC4-5D6E-409C-BE32-E72D297353CC}">
              <c16:uniqueId val="{00000008-A994-4601-A551-1EF1DD2E408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[mini.xlsx]Pivot Table!PivotTable4</c:name>
    <c:fmtId val="10"/>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Table'!$D$4:$D$9</c:f>
              <c:strCache>
                <c:ptCount val="5"/>
                <c:pt idx="0">
                  <c:v>Laptop</c:v>
                </c:pt>
                <c:pt idx="1">
                  <c:v>Monitor</c:v>
                </c:pt>
                <c:pt idx="2">
                  <c:v>Printer</c:v>
                </c:pt>
                <c:pt idx="3">
                  <c:v>Smartphone</c:v>
                </c:pt>
                <c:pt idx="4">
                  <c:v>Tablet</c:v>
                </c:pt>
              </c:strCache>
            </c:strRef>
          </c:cat>
          <c:val>
            <c:numRef>
              <c:f>'Pivot Table'!$E$4:$E$9</c:f>
              <c:numCache>
                <c:formatCode>#\.00," L"</c:formatCode>
                <c:ptCount val="5"/>
                <c:pt idx="0">
                  <c:v>1244102</c:v>
                </c:pt>
                <c:pt idx="1">
                  <c:v>981430</c:v>
                </c:pt>
                <c:pt idx="2">
                  <c:v>1165628</c:v>
                </c:pt>
                <c:pt idx="3">
                  <c:v>978024</c:v>
                </c:pt>
                <c:pt idx="4">
                  <c:v>746388</c:v>
                </c:pt>
              </c:numCache>
            </c:numRef>
          </c:val>
          <c:extLst>
            <c:ext xmlns:c16="http://schemas.microsoft.com/office/drawing/2014/chart" uri="{C3380CC4-5D6E-409C-BE32-E72D297353CC}">
              <c16:uniqueId val="{00000000-AD27-47E8-95F5-278311D6460A}"/>
            </c:ext>
          </c:extLst>
        </c:ser>
        <c:dLbls>
          <c:dLblPos val="outEnd"/>
          <c:showLegendKey val="0"/>
          <c:showVal val="1"/>
          <c:showCatName val="0"/>
          <c:showSerName val="0"/>
          <c:showPercent val="0"/>
          <c:showBubbleSize val="0"/>
        </c:dLbls>
        <c:gapWidth val="50"/>
        <c:axId val="2115893984"/>
        <c:axId val="143804064"/>
      </c:barChart>
      <c:catAx>
        <c:axId val="2115893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04064"/>
        <c:crosses val="autoZero"/>
        <c:auto val="1"/>
        <c:lblAlgn val="ctr"/>
        <c:lblOffset val="100"/>
        <c:noMultiLvlLbl val="0"/>
      </c:catAx>
      <c:valAx>
        <c:axId val="143804064"/>
        <c:scaling>
          <c:orientation val="minMax"/>
        </c:scaling>
        <c:delete val="0"/>
        <c:axPos val="b"/>
        <c:numFmt formatCode="#\.00,&quot; 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893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[mini.xlsx]Pivot Table!PivotTable5</c:name>
    <c:fmtId val="6"/>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Table'!$G$4:$G$9</c:f>
              <c:strCache>
                <c:ptCount val="5"/>
                <c:pt idx="0">
                  <c:v>Alice Johnson</c:v>
                </c:pt>
                <c:pt idx="1">
                  <c:v>Bob Smith</c:v>
                </c:pt>
                <c:pt idx="2">
                  <c:v>Charlie Lee</c:v>
                </c:pt>
                <c:pt idx="3">
                  <c:v>Diana Carter</c:v>
                </c:pt>
                <c:pt idx="4">
                  <c:v>Ethan Brown</c:v>
                </c:pt>
              </c:strCache>
            </c:strRef>
          </c:cat>
          <c:val>
            <c:numRef>
              <c:f>'Pivot Table'!$H$4:$H$9</c:f>
              <c:numCache>
                <c:formatCode>#\.00," L"</c:formatCode>
                <c:ptCount val="5"/>
                <c:pt idx="0">
                  <c:v>1232618</c:v>
                </c:pt>
                <c:pt idx="1">
                  <c:v>763021</c:v>
                </c:pt>
                <c:pt idx="2">
                  <c:v>1203099</c:v>
                </c:pt>
                <c:pt idx="3">
                  <c:v>911612</c:v>
                </c:pt>
                <c:pt idx="4">
                  <c:v>1005222</c:v>
                </c:pt>
              </c:numCache>
            </c:numRef>
          </c:val>
          <c:extLst>
            <c:ext xmlns:c16="http://schemas.microsoft.com/office/drawing/2014/chart" uri="{C3380CC4-5D6E-409C-BE32-E72D297353CC}">
              <c16:uniqueId val="{00000000-124A-454F-9F30-D1F78E4DDBCD}"/>
            </c:ext>
          </c:extLst>
        </c:ser>
        <c:dLbls>
          <c:dLblPos val="inEnd"/>
          <c:showLegendKey val="0"/>
          <c:showVal val="1"/>
          <c:showCatName val="0"/>
          <c:showSerName val="0"/>
          <c:showPercent val="0"/>
          <c:showBubbleSize val="0"/>
        </c:dLbls>
        <c:gapWidth val="41"/>
        <c:axId val="1509627776"/>
        <c:axId val="1509628256"/>
      </c:barChart>
      <c:catAx>
        <c:axId val="1509627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509628256"/>
        <c:crosses val="autoZero"/>
        <c:auto val="1"/>
        <c:lblAlgn val="ctr"/>
        <c:lblOffset val="100"/>
        <c:noMultiLvlLbl val="0"/>
      </c:catAx>
      <c:valAx>
        <c:axId val="1509628256"/>
        <c:scaling>
          <c:orientation val="minMax"/>
        </c:scaling>
        <c:delete val="1"/>
        <c:axPos val="l"/>
        <c:numFmt formatCode="#\.00,&quot; L&quot;" sourceLinked="1"/>
        <c:majorTickMark val="none"/>
        <c:minorTickMark val="none"/>
        <c:tickLblPos val="nextTo"/>
        <c:crossAx val="1509627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[mini.xlsx]Pivot Table!PivotTable3</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21696877147839708"/>
              <c:y val="8.777778869088867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B78-4738-AE54-C29D8E28DB5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6B78-4738-AE54-C29D8E28DB5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B78-4738-AE54-C29D8E28DB5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6B78-4738-AE54-C29D8E28DB52}"/>
              </c:ext>
            </c:extLst>
          </c:dPt>
          <c:dLbls>
            <c:dLbl>
              <c:idx val="0"/>
              <c:layout>
                <c:manualLayout>
                  <c:x val="0.21696877147839708"/>
                  <c:y val="8.777778869088867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B78-4738-AE54-C29D8E28DB52}"/>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#\.00," L"</c:formatCode>
                <c:ptCount val="4"/>
                <c:pt idx="0">
                  <c:v>1487835</c:v>
                </c:pt>
                <c:pt idx="1">
                  <c:v>1369664</c:v>
                </c:pt>
                <c:pt idx="2">
                  <c:v>1176870</c:v>
                </c:pt>
                <c:pt idx="3">
                  <c:v>1081203</c:v>
                </c:pt>
              </c:numCache>
            </c:numRef>
          </c:val>
          <c:extLst>
            <c:ext xmlns:c16="http://schemas.microsoft.com/office/drawing/2014/chart" uri="{C3380CC4-5D6E-409C-BE32-E72D297353CC}">
              <c16:uniqueId val="{00000000-6B78-4738-AE54-C29D8E28DB5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[mini.xlsx]Pivot Table!PivotTable4</c:name>
    <c:fmtId val="3"/>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Table'!$D$4:$D$9</c:f>
              <c:strCache>
                <c:ptCount val="5"/>
                <c:pt idx="0">
                  <c:v>Laptop</c:v>
                </c:pt>
                <c:pt idx="1">
                  <c:v>Monitor</c:v>
                </c:pt>
                <c:pt idx="2">
                  <c:v>Printer</c:v>
                </c:pt>
                <c:pt idx="3">
                  <c:v>Smartphone</c:v>
                </c:pt>
                <c:pt idx="4">
                  <c:v>Tablet</c:v>
                </c:pt>
              </c:strCache>
            </c:strRef>
          </c:cat>
          <c:val>
            <c:numRef>
              <c:f>'Pivot Table'!$E$4:$E$9</c:f>
              <c:numCache>
                <c:formatCode>#\.00," L"</c:formatCode>
                <c:ptCount val="5"/>
                <c:pt idx="0">
                  <c:v>1244102</c:v>
                </c:pt>
                <c:pt idx="1">
                  <c:v>981430</c:v>
                </c:pt>
                <c:pt idx="2">
                  <c:v>1165628</c:v>
                </c:pt>
                <c:pt idx="3">
                  <c:v>978024</c:v>
                </c:pt>
                <c:pt idx="4">
                  <c:v>746388</c:v>
                </c:pt>
              </c:numCache>
            </c:numRef>
          </c:val>
          <c:extLst>
            <c:ext xmlns:c16="http://schemas.microsoft.com/office/drawing/2014/chart" uri="{C3380CC4-5D6E-409C-BE32-E72D297353CC}">
              <c16:uniqueId val="{00000000-3121-4FBC-B11A-FE54697D908C}"/>
            </c:ext>
          </c:extLst>
        </c:ser>
        <c:dLbls>
          <c:dLblPos val="inEnd"/>
          <c:showLegendKey val="0"/>
          <c:showVal val="1"/>
          <c:showCatName val="0"/>
          <c:showSerName val="0"/>
          <c:showPercent val="0"/>
          <c:showBubbleSize val="0"/>
        </c:dLbls>
        <c:gapWidth val="50"/>
        <c:axId val="2115893984"/>
        <c:axId val="143804064"/>
      </c:barChart>
      <c:catAx>
        <c:axId val="21158939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3804064"/>
        <c:crosses val="autoZero"/>
        <c:auto val="1"/>
        <c:lblAlgn val="ctr"/>
        <c:lblOffset val="100"/>
        <c:noMultiLvlLbl val="0"/>
      </c:catAx>
      <c:valAx>
        <c:axId val="143804064"/>
        <c:scaling>
          <c:orientation val="minMax"/>
        </c:scaling>
        <c:delete val="1"/>
        <c:axPos val="b"/>
        <c:numFmt formatCode="#\.00,&quot; L&quot;" sourceLinked="1"/>
        <c:majorTickMark val="none"/>
        <c:minorTickMark val="none"/>
        <c:tickLblPos val="nextTo"/>
        <c:crossAx val="2115893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[mini.xlsx]Pivot Table!PivotTable5</c:name>
    <c:fmtId val="1"/>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Table'!$G$4:$G$9</c:f>
              <c:strCache>
                <c:ptCount val="5"/>
                <c:pt idx="0">
                  <c:v>Alice Johnson</c:v>
                </c:pt>
                <c:pt idx="1">
                  <c:v>Bob Smith</c:v>
                </c:pt>
                <c:pt idx="2">
                  <c:v>Charlie Lee</c:v>
                </c:pt>
                <c:pt idx="3">
                  <c:v>Diana Carter</c:v>
                </c:pt>
                <c:pt idx="4">
                  <c:v>Ethan Brown</c:v>
                </c:pt>
              </c:strCache>
            </c:strRef>
          </c:cat>
          <c:val>
            <c:numRef>
              <c:f>'Pivot Table'!$H$4:$H$9</c:f>
              <c:numCache>
                <c:formatCode>#\.00," L"</c:formatCode>
                <c:ptCount val="5"/>
                <c:pt idx="0">
                  <c:v>1232618</c:v>
                </c:pt>
                <c:pt idx="1">
                  <c:v>763021</c:v>
                </c:pt>
                <c:pt idx="2">
                  <c:v>1203099</c:v>
                </c:pt>
                <c:pt idx="3">
                  <c:v>911612</c:v>
                </c:pt>
                <c:pt idx="4">
                  <c:v>1005222</c:v>
                </c:pt>
              </c:numCache>
            </c:numRef>
          </c:val>
          <c:extLst>
            <c:ext xmlns:c16="http://schemas.microsoft.com/office/drawing/2014/chart" uri="{C3380CC4-5D6E-409C-BE32-E72D297353CC}">
              <c16:uniqueId val="{00000000-4BC2-49C8-9B49-37658EEE49AB}"/>
            </c:ext>
          </c:extLst>
        </c:ser>
        <c:dLbls>
          <c:dLblPos val="inEnd"/>
          <c:showLegendKey val="0"/>
          <c:showVal val="1"/>
          <c:showCatName val="0"/>
          <c:showSerName val="0"/>
          <c:showPercent val="0"/>
          <c:showBubbleSize val="0"/>
        </c:dLbls>
        <c:gapWidth val="65"/>
        <c:axId val="1509627776"/>
        <c:axId val="1509628256"/>
      </c:barChart>
      <c:catAx>
        <c:axId val="15096277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09628256"/>
        <c:crosses val="autoZero"/>
        <c:auto val="1"/>
        <c:lblAlgn val="ctr"/>
        <c:lblOffset val="100"/>
        <c:noMultiLvlLbl val="0"/>
      </c:catAx>
      <c:valAx>
        <c:axId val="1509628256"/>
        <c:scaling>
          <c:orientation val="minMax"/>
        </c:scaling>
        <c:delete val="1"/>
        <c:axPos val="l"/>
        <c:numFmt formatCode="#\.00,&quot; L&quot;" sourceLinked="1"/>
        <c:majorTickMark val="none"/>
        <c:minorTickMark val="none"/>
        <c:tickLblPos val="nextTo"/>
        <c:crossAx val="1509627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[mini.xlsx]Pivot Table!PivotTable6</c:name>
    <c:fmtId val="1"/>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4"/>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4"/>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Table'!$K$5:$K$10</c:f>
              <c:strCache>
                <c:ptCount val="5"/>
                <c:pt idx="0">
                  <c:v>Laptop</c:v>
                </c:pt>
                <c:pt idx="1">
                  <c:v>Monitor</c:v>
                </c:pt>
                <c:pt idx="2">
                  <c:v>Printer</c:v>
                </c:pt>
                <c:pt idx="3">
                  <c:v>Smartphone</c:v>
                </c:pt>
                <c:pt idx="4">
                  <c:v>Tablet</c:v>
                </c:pt>
              </c:strCache>
            </c:strRef>
          </c:cat>
          <c:val>
            <c:numRef>
              <c:f>'Pivot Table'!$L$5:$L$10</c:f>
              <c:numCache>
                <c:formatCode>General</c:formatCode>
                <c:ptCount val="5"/>
                <c:pt idx="0">
                  <c:v>1138</c:v>
                </c:pt>
                <c:pt idx="1">
                  <c:v>930</c:v>
                </c:pt>
                <c:pt idx="2">
                  <c:v>1201</c:v>
                </c:pt>
                <c:pt idx="3">
                  <c:v>928</c:v>
                </c:pt>
                <c:pt idx="4">
                  <c:v>774</c:v>
                </c:pt>
              </c:numCache>
            </c:numRef>
          </c:val>
          <c:smooth val="0"/>
          <c:extLst>
            <c:ext xmlns:c16="http://schemas.microsoft.com/office/drawing/2014/chart" uri="{C3380CC4-5D6E-409C-BE32-E72D297353CC}">
              <c16:uniqueId val="{00000000-4238-4E97-9A93-FEDCBD78C724}"/>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73926064"/>
        <c:axId val="1873927504"/>
      </c:lineChart>
      <c:catAx>
        <c:axId val="1873926064"/>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73927504"/>
        <c:crosses val="autoZero"/>
        <c:auto val="1"/>
        <c:lblAlgn val="ctr"/>
        <c:lblOffset val="100"/>
        <c:noMultiLvlLbl val="0"/>
      </c:catAx>
      <c:valAx>
        <c:axId val="1873927504"/>
        <c:scaling>
          <c:orientation val="minMax"/>
        </c:scaling>
        <c:delete val="1"/>
        <c:axPos val="l"/>
        <c:numFmt formatCode="General" sourceLinked="1"/>
        <c:majorTickMark val="none"/>
        <c:minorTickMark val="none"/>
        <c:tickLblPos val="nextTo"/>
        <c:crossAx val="1873926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25400</xdr:rowOff>
    </xdr:from>
    <xdr:to>
      <xdr:col>25</xdr:col>
      <xdr:colOff>541866</xdr:colOff>
      <xdr:row>6</xdr:row>
      <xdr:rowOff>55880</xdr:rowOff>
    </xdr:to>
    <xdr:sp macro="" textlink="">
      <xdr:nvSpPr>
        <xdr:cNvPr id="4" name="Rectangle: Rounded Corners 3">
          <a:extLst>
            <a:ext uri="{FF2B5EF4-FFF2-40B4-BE49-F238E27FC236}">
              <a16:creationId xmlns:a16="http://schemas.microsoft.com/office/drawing/2014/main" id="{B122A757-E7BF-C584-A318-72E9FA38B115}"/>
            </a:ext>
          </a:extLst>
        </xdr:cNvPr>
        <xdr:cNvSpPr/>
      </xdr:nvSpPr>
      <xdr:spPr>
        <a:xfrm>
          <a:off x="0" y="25400"/>
          <a:ext cx="15781866" cy="1148080"/>
        </a:xfrm>
        <a:prstGeom prst="roundRect">
          <a:avLst/>
        </a:prstGeom>
        <a:solidFill>
          <a:srgbClr val="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37171</xdr:colOff>
      <xdr:row>6</xdr:row>
      <xdr:rowOff>90176</xdr:rowOff>
    </xdr:from>
    <xdr:to>
      <xdr:col>5</xdr:col>
      <xdr:colOff>263710</xdr:colOff>
      <xdr:row>12</xdr:row>
      <xdr:rowOff>120656</xdr:rowOff>
    </xdr:to>
    <xdr:grpSp>
      <xdr:nvGrpSpPr>
        <xdr:cNvPr id="69" name="Group 68">
          <a:extLst>
            <a:ext uri="{FF2B5EF4-FFF2-40B4-BE49-F238E27FC236}">
              <a16:creationId xmlns:a16="http://schemas.microsoft.com/office/drawing/2014/main" id="{838F3867-F2C6-52CA-17C2-896B9B4013F9}"/>
            </a:ext>
          </a:extLst>
        </xdr:cNvPr>
        <xdr:cNvGrpSpPr/>
      </xdr:nvGrpSpPr>
      <xdr:grpSpPr>
        <a:xfrm>
          <a:off x="37171" y="1195495"/>
          <a:ext cx="3282913" cy="1135798"/>
          <a:chOff x="37171" y="1205298"/>
          <a:chExt cx="3293124" cy="1145602"/>
        </a:xfrm>
      </xdr:grpSpPr>
      <xdr:sp macro="" textlink="">
        <xdr:nvSpPr>
          <xdr:cNvPr id="6" name="Rectangle: Rounded Corners 5">
            <a:extLst>
              <a:ext uri="{FF2B5EF4-FFF2-40B4-BE49-F238E27FC236}">
                <a16:creationId xmlns:a16="http://schemas.microsoft.com/office/drawing/2014/main" id="{167BF786-1F41-4634-9A4B-0CF9B3FE1374}"/>
              </a:ext>
            </a:extLst>
          </xdr:cNvPr>
          <xdr:cNvSpPr/>
        </xdr:nvSpPr>
        <xdr:spPr>
          <a:xfrm>
            <a:off x="37171" y="1205298"/>
            <a:ext cx="3293124" cy="1145602"/>
          </a:xfrm>
          <a:prstGeom prst="roundRect">
            <a:avLst/>
          </a:prstGeom>
          <a:solidFill>
            <a:srgbClr val="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42A343EC-25CD-4052-93C0-5AC2184E9334}"/>
              </a:ext>
            </a:extLst>
          </xdr:cNvPr>
          <xdr:cNvSpPr/>
        </xdr:nvSpPr>
        <xdr:spPr>
          <a:xfrm rot="16200000">
            <a:off x="-18082" y="1369288"/>
            <a:ext cx="1048395" cy="824207"/>
          </a:xfrm>
          <a:prstGeom prst="roundRect">
            <a:avLst/>
          </a:prstGeom>
          <a:solidFill>
            <a:srgbClr val="0070C0"/>
          </a:solidFill>
          <a:ln>
            <a:solidFill>
              <a:srgbClr val="0070C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ales_data!K5">
        <xdr:nvSpPr>
          <xdr:cNvPr id="10" name="TextBox 9">
            <a:extLst>
              <a:ext uri="{FF2B5EF4-FFF2-40B4-BE49-F238E27FC236}">
                <a16:creationId xmlns:a16="http://schemas.microsoft.com/office/drawing/2014/main" id="{521F5740-2FF9-EB63-B651-46B33D78C961}"/>
              </a:ext>
            </a:extLst>
          </xdr:cNvPr>
          <xdr:cNvSpPr txBox="1"/>
        </xdr:nvSpPr>
        <xdr:spPr>
          <a:xfrm>
            <a:off x="982513" y="1739741"/>
            <a:ext cx="2297804" cy="319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A64C86-09C8-426C-8414-6FE269CC0C29}" type="TxLink">
              <a:rPr lang="en-US" sz="2400" b="1" i="0" u="none" strike="noStrike">
                <a:solidFill>
                  <a:srgbClr val="002060"/>
                </a:solidFill>
                <a:latin typeface="Arial" panose="020B0604020202020204" pitchFamily="34" charset="0"/>
                <a:ea typeface="Calibri"/>
                <a:cs typeface="Arial" panose="020B0604020202020204" pitchFamily="34" charset="0"/>
              </a:rPr>
              <a:pPr algn="ctr"/>
              <a:t>5115572</a:t>
            </a:fld>
            <a:endParaRPr lang="en-IN" sz="2400" b="1">
              <a:solidFill>
                <a:srgbClr val="002060"/>
              </a:solidFill>
              <a:latin typeface="Arial" panose="020B0604020202020204" pitchFamily="34" charset="0"/>
              <a:cs typeface="Arial" panose="020B0604020202020204" pitchFamily="34" charset="0"/>
            </a:endParaRPr>
          </a:p>
        </xdr:txBody>
      </xdr:sp>
      <xdr:sp macro="" textlink="">
        <xdr:nvSpPr>
          <xdr:cNvPr id="15" name="TextBox 14">
            <a:extLst>
              <a:ext uri="{FF2B5EF4-FFF2-40B4-BE49-F238E27FC236}">
                <a16:creationId xmlns:a16="http://schemas.microsoft.com/office/drawing/2014/main" id="{1F34A197-BAA8-688D-6472-00288296F2FE}"/>
              </a:ext>
            </a:extLst>
          </xdr:cNvPr>
          <xdr:cNvSpPr txBox="1"/>
        </xdr:nvSpPr>
        <xdr:spPr>
          <a:xfrm>
            <a:off x="1227135" y="1344928"/>
            <a:ext cx="1886917" cy="38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1">
                <a:solidFill>
                  <a:srgbClr val="002060"/>
                </a:solidFill>
                <a:latin typeface="Arial" panose="020B0604020202020204" pitchFamily="34" charset="0"/>
                <a:cs typeface="Arial" panose="020B0604020202020204" pitchFamily="34" charset="0"/>
              </a:rPr>
              <a:t>TOTAL</a:t>
            </a:r>
            <a:r>
              <a:rPr lang="en-IN" sz="1800" b="1" baseline="0">
                <a:latin typeface="Arial" panose="020B0604020202020204" pitchFamily="34" charset="0"/>
                <a:cs typeface="Arial" panose="020B0604020202020204" pitchFamily="34" charset="0"/>
              </a:rPr>
              <a:t> </a:t>
            </a:r>
            <a:r>
              <a:rPr lang="en-IN" sz="1800" b="1" baseline="0">
                <a:solidFill>
                  <a:srgbClr val="002060"/>
                </a:solidFill>
                <a:latin typeface="Arial" panose="020B0604020202020204" pitchFamily="34" charset="0"/>
                <a:cs typeface="Arial" panose="020B0604020202020204" pitchFamily="34" charset="0"/>
              </a:rPr>
              <a:t>SALES</a:t>
            </a:r>
            <a:endParaRPr lang="en-IN" sz="1800" b="1">
              <a:solidFill>
                <a:srgbClr val="002060"/>
              </a:solidFill>
              <a:latin typeface="Arial" panose="020B0604020202020204" pitchFamily="34" charset="0"/>
              <a:cs typeface="Arial" panose="020B0604020202020204" pitchFamily="34" charset="0"/>
            </a:endParaRPr>
          </a:p>
        </xdr:txBody>
      </xdr:sp>
    </xdr:grpSp>
    <xdr:clientData/>
  </xdr:twoCellAnchor>
  <xdr:twoCellAnchor>
    <xdr:from>
      <xdr:col>5</xdr:col>
      <xdr:colOff>315951</xdr:colOff>
      <xdr:row>6</xdr:row>
      <xdr:rowOff>80883</xdr:rowOff>
    </xdr:from>
    <xdr:to>
      <xdr:col>10</xdr:col>
      <xdr:colOff>542489</xdr:colOff>
      <xdr:row>12</xdr:row>
      <xdr:rowOff>111363</xdr:rowOff>
    </xdr:to>
    <xdr:grpSp>
      <xdr:nvGrpSpPr>
        <xdr:cNvPr id="17" name="Group 16">
          <a:extLst>
            <a:ext uri="{FF2B5EF4-FFF2-40B4-BE49-F238E27FC236}">
              <a16:creationId xmlns:a16="http://schemas.microsoft.com/office/drawing/2014/main" id="{842ECDE4-0226-E667-9B5F-2F19FA83C0C0}"/>
            </a:ext>
          </a:extLst>
        </xdr:cNvPr>
        <xdr:cNvGrpSpPr/>
      </xdr:nvGrpSpPr>
      <xdr:grpSpPr>
        <a:xfrm>
          <a:off x="3372325" y="1186202"/>
          <a:ext cx="3282911" cy="1135798"/>
          <a:chOff x="0" y="1140249"/>
          <a:chExt cx="3293124" cy="1145602"/>
        </a:xfrm>
      </xdr:grpSpPr>
      <xdr:sp macro="" textlink="">
        <xdr:nvSpPr>
          <xdr:cNvPr id="18" name="Rectangle: Rounded Corners 17">
            <a:extLst>
              <a:ext uri="{FF2B5EF4-FFF2-40B4-BE49-F238E27FC236}">
                <a16:creationId xmlns:a16="http://schemas.microsoft.com/office/drawing/2014/main" id="{4DC317C8-8DAD-2079-E182-2F79900E6CA0}"/>
              </a:ext>
            </a:extLst>
          </xdr:cNvPr>
          <xdr:cNvSpPr/>
        </xdr:nvSpPr>
        <xdr:spPr>
          <a:xfrm>
            <a:off x="0" y="1140249"/>
            <a:ext cx="3293124" cy="1145602"/>
          </a:xfrm>
          <a:prstGeom prst="roundRect">
            <a:avLst/>
          </a:prstGeom>
          <a:solidFill>
            <a:srgbClr val="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DEC68338-0865-3CEA-5FAB-8C8D2C729F5D}"/>
              </a:ext>
            </a:extLst>
          </xdr:cNvPr>
          <xdr:cNvSpPr/>
        </xdr:nvSpPr>
        <xdr:spPr>
          <a:xfrm rot="16200000">
            <a:off x="-55253" y="1304239"/>
            <a:ext cx="1048395" cy="824207"/>
          </a:xfrm>
          <a:prstGeom prst="roundRect">
            <a:avLst/>
          </a:prstGeom>
          <a:solidFill>
            <a:srgbClr val="0070C0"/>
          </a:solidFill>
          <a:ln>
            <a:solidFill>
              <a:srgbClr val="0070C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ales_data!K11">
        <xdr:nvSpPr>
          <xdr:cNvPr id="20" name="TextBox 19">
            <a:extLst>
              <a:ext uri="{FF2B5EF4-FFF2-40B4-BE49-F238E27FC236}">
                <a16:creationId xmlns:a16="http://schemas.microsoft.com/office/drawing/2014/main" id="{D4F1A5F3-69B9-7624-B1A3-796B2FF163E2}"/>
              </a:ext>
            </a:extLst>
          </xdr:cNvPr>
          <xdr:cNvSpPr txBox="1"/>
        </xdr:nvSpPr>
        <xdr:spPr>
          <a:xfrm>
            <a:off x="833830" y="1683985"/>
            <a:ext cx="2297804" cy="319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3B4BD1-9D6D-440D-BEAA-5AC27F13E493}" type="TxLink">
              <a:rPr lang="en-US" sz="2400" b="1" i="0" u="none" strike="noStrike">
                <a:solidFill>
                  <a:schemeClr val="accent1">
                    <a:lumMod val="50000"/>
                  </a:schemeClr>
                </a:solidFill>
                <a:latin typeface="Arial" panose="020B0604020202020204" pitchFamily="34" charset="0"/>
                <a:ea typeface="Calibri"/>
                <a:cs typeface="Arial" panose="020B0604020202020204" pitchFamily="34" charset="0"/>
              </a:rPr>
              <a:pPr algn="ctr"/>
              <a:t>25577.86</a:t>
            </a:fld>
            <a:endParaRPr lang="en-IN" sz="2400" b="1">
              <a:solidFill>
                <a:schemeClr val="accent1">
                  <a:lumMod val="50000"/>
                </a:schemeClr>
              </a:solidFill>
              <a:latin typeface="Arial" panose="020B0604020202020204" pitchFamily="34" charset="0"/>
              <a:cs typeface="Arial" panose="020B0604020202020204" pitchFamily="34" charset="0"/>
            </a:endParaRPr>
          </a:p>
        </xdr:txBody>
      </xdr:sp>
      <xdr:sp macro="" textlink="">
        <xdr:nvSpPr>
          <xdr:cNvPr id="21" name="TextBox 20">
            <a:extLst>
              <a:ext uri="{FF2B5EF4-FFF2-40B4-BE49-F238E27FC236}">
                <a16:creationId xmlns:a16="http://schemas.microsoft.com/office/drawing/2014/main" id="{C076BD60-710F-7EDA-FCE1-17431729CD4A}"/>
              </a:ext>
            </a:extLst>
          </xdr:cNvPr>
          <xdr:cNvSpPr txBox="1"/>
        </xdr:nvSpPr>
        <xdr:spPr>
          <a:xfrm>
            <a:off x="1338147" y="1279879"/>
            <a:ext cx="1458951" cy="38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1">
                <a:solidFill>
                  <a:srgbClr val="002060"/>
                </a:solidFill>
                <a:latin typeface="Arial" panose="020B0604020202020204" pitchFamily="34" charset="0"/>
                <a:cs typeface="Arial" panose="020B0604020202020204" pitchFamily="34" charset="0"/>
              </a:rPr>
              <a:t>AVERAGE</a:t>
            </a:r>
          </a:p>
        </xdr:txBody>
      </xdr:sp>
    </xdr:grpSp>
    <xdr:clientData/>
  </xdr:twoCellAnchor>
  <xdr:twoCellAnchor>
    <xdr:from>
      <xdr:col>10</xdr:col>
      <xdr:colOff>594732</xdr:colOff>
      <xdr:row>6</xdr:row>
      <xdr:rowOff>99470</xdr:rowOff>
    </xdr:from>
    <xdr:to>
      <xdr:col>16</xdr:col>
      <xdr:colOff>207954</xdr:colOff>
      <xdr:row>12</xdr:row>
      <xdr:rowOff>129950</xdr:rowOff>
    </xdr:to>
    <xdr:grpSp>
      <xdr:nvGrpSpPr>
        <xdr:cNvPr id="22" name="Group 21">
          <a:extLst>
            <a:ext uri="{FF2B5EF4-FFF2-40B4-BE49-F238E27FC236}">
              <a16:creationId xmlns:a16="http://schemas.microsoft.com/office/drawing/2014/main" id="{66BDABE2-C17D-AF5D-349F-6294D8CCCA1A}"/>
            </a:ext>
          </a:extLst>
        </xdr:cNvPr>
        <xdr:cNvGrpSpPr/>
      </xdr:nvGrpSpPr>
      <xdr:grpSpPr>
        <a:xfrm>
          <a:off x="6707479" y="1204789"/>
          <a:ext cx="3280871" cy="1135798"/>
          <a:chOff x="0" y="1140249"/>
          <a:chExt cx="3293124" cy="1145602"/>
        </a:xfrm>
      </xdr:grpSpPr>
      <xdr:sp macro="" textlink="">
        <xdr:nvSpPr>
          <xdr:cNvPr id="23" name="Rectangle: Rounded Corners 22">
            <a:extLst>
              <a:ext uri="{FF2B5EF4-FFF2-40B4-BE49-F238E27FC236}">
                <a16:creationId xmlns:a16="http://schemas.microsoft.com/office/drawing/2014/main" id="{0C963422-837A-83ED-56A8-21E4A6A55954}"/>
              </a:ext>
            </a:extLst>
          </xdr:cNvPr>
          <xdr:cNvSpPr/>
        </xdr:nvSpPr>
        <xdr:spPr>
          <a:xfrm>
            <a:off x="0" y="1140249"/>
            <a:ext cx="3293124" cy="1145602"/>
          </a:xfrm>
          <a:prstGeom prst="roundRect">
            <a:avLst/>
          </a:prstGeom>
          <a:solidFill>
            <a:srgbClr val="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Rectangle: Rounded Corners 23">
            <a:extLst>
              <a:ext uri="{FF2B5EF4-FFF2-40B4-BE49-F238E27FC236}">
                <a16:creationId xmlns:a16="http://schemas.microsoft.com/office/drawing/2014/main" id="{DE456F6E-6383-9C01-B73A-0C27924962DC}"/>
              </a:ext>
            </a:extLst>
          </xdr:cNvPr>
          <xdr:cNvSpPr/>
        </xdr:nvSpPr>
        <xdr:spPr>
          <a:xfrm rot="16200000">
            <a:off x="-55253" y="1304239"/>
            <a:ext cx="1048395" cy="824207"/>
          </a:xfrm>
          <a:prstGeom prst="roundRect">
            <a:avLst/>
          </a:prstGeom>
          <a:solidFill>
            <a:srgbClr val="0070C0"/>
          </a:solidFill>
          <a:ln>
            <a:solidFill>
              <a:srgbClr val="0070C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ales_data!K7">
        <xdr:nvSpPr>
          <xdr:cNvPr id="25" name="TextBox 24">
            <a:extLst>
              <a:ext uri="{FF2B5EF4-FFF2-40B4-BE49-F238E27FC236}">
                <a16:creationId xmlns:a16="http://schemas.microsoft.com/office/drawing/2014/main" id="{3920B1E4-726C-80A8-D15D-19D3D166AE08}"/>
              </a:ext>
            </a:extLst>
          </xdr:cNvPr>
          <xdr:cNvSpPr txBox="1"/>
        </xdr:nvSpPr>
        <xdr:spPr>
          <a:xfrm>
            <a:off x="994316" y="1674692"/>
            <a:ext cx="1979341" cy="319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9CE533-2381-451B-A38D-3183FA194D19}" type="TxLink">
              <a:rPr lang="en-US" sz="2400" b="1" i="0" u="none" strike="noStrike">
                <a:solidFill>
                  <a:schemeClr val="accent1">
                    <a:lumMod val="50000"/>
                  </a:schemeClr>
                </a:solidFill>
                <a:latin typeface="Arial" panose="020B0604020202020204" pitchFamily="34" charset="0"/>
                <a:ea typeface="Calibri"/>
                <a:cs typeface="Arial" panose="020B0604020202020204" pitchFamily="34" charset="0"/>
              </a:rPr>
              <a:pPr algn="ctr"/>
              <a:t>4971</a:t>
            </a:fld>
            <a:endParaRPr lang="en-IN" sz="2400" b="1">
              <a:solidFill>
                <a:schemeClr val="accent1">
                  <a:lumMod val="50000"/>
                </a:schemeClr>
              </a:solidFill>
              <a:latin typeface="Arial" panose="020B0604020202020204" pitchFamily="34" charset="0"/>
              <a:cs typeface="Arial" panose="020B0604020202020204" pitchFamily="34" charset="0"/>
            </a:endParaRPr>
          </a:p>
        </xdr:txBody>
      </xdr:sp>
      <xdr:sp macro="" textlink="">
        <xdr:nvSpPr>
          <xdr:cNvPr id="26" name="TextBox 25">
            <a:extLst>
              <a:ext uri="{FF2B5EF4-FFF2-40B4-BE49-F238E27FC236}">
                <a16:creationId xmlns:a16="http://schemas.microsoft.com/office/drawing/2014/main" id="{25AD218C-8A24-47A8-26B3-004B8D8C2291}"/>
              </a:ext>
            </a:extLst>
          </xdr:cNvPr>
          <xdr:cNvSpPr txBox="1"/>
        </xdr:nvSpPr>
        <xdr:spPr>
          <a:xfrm>
            <a:off x="1329355" y="1263803"/>
            <a:ext cx="1886917" cy="398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1">
                <a:solidFill>
                  <a:srgbClr val="002060"/>
                </a:solidFill>
                <a:latin typeface="Arial" panose="020B0604020202020204" pitchFamily="34" charset="0"/>
                <a:cs typeface="Arial" panose="020B0604020202020204" pitchFamily="34" charset="0"/>
              </a:rPr>
              <a:t>UNIT SOLD</a:t>
            </a:r>
          </a:p>
        </xdr:txBody>
      </xdr:sp>
    </xdr:grpSp>
    <xdr:clientData/>
  </xdr:twoCellAnchor>
  <xdr:twoCellAnchor>
    <xdr:from>
      <xdr:col>16</xdr:col>
      <xdr:colOff>274716</xdr:colOff>
      <xdr:row>6</xdr:row>
      <xdr:rowOff>100921</xdr:rowOff>
    </xdr:from>
    <xdr:to>
      <xdr:col>21</xdr:col>
      <xdr:colOff>545206</xdr:colOff>
      <xdr:row>12</xdr:row>
      <xdr:rowOff>131401</xdr:rowOff>
    </xdr:to>
    <xdr:grpSp>
      <xdr:nvGrpSpPr>
        <xdr:cNvPr id="27" name="Group 26">
          <a:extLst>
            <a:ext uri="{FF2B5EF4-FFF2-40B4-BE49-F238E27FC236}">
              <a16:creationId xmlns:a16="http://schemas.microsoft.com/office/drawing/2014/main" id="{22AA5754-6CBB-0C1E-5F91-1D79E1603AAB}"/>
            </a:ext>
          </a:extLst>
        </xdr:cNvPr>
        <xdr:cNvGrpSpPr/>
      </xdr:nvGrpSpPr>
      <xdr:grpSpPr>
        <a:xfrm>
          <a:off x="10055112" y="1206240"/>
          <a:ext cx="3326863" cy="1135798"/>
          <a:chOff x="0" y="1140249"/>
          <a:chExt cx="3337076" cy="1145602"/>
        </a:xfrm>
      </xdr:grpSpPr>
      <xdr:sp macro="" textlink="">
        <xdr:nvSpPr>
          <xdr:cNvPr id="28" name="Rectangle: Rounded Corners 27">
            <a:extLst>
              <a:ext uri="{FF2B5EF4-FFF2-40B4-BE49-F238E27FC236}">
                <a16:creationId xmlns:a16="http://schemas.microsoft.com/office/drawing/2014/main" id="{29BA87DF-88A4-2939-185C-372D9C56E23F}"/>
              </a:ext>
            </a:extLst>
          </xdr:cNvPr>
          <xdr:cNvSpPr/>
        </xdr:nvSpPr>
        <xdr:spPr>
          <a:xfrm>
            <a:off x="0" y="1140249"/>
            <a:ext cx="3293124" cy="1145602"/>
          </a:xfrm>
          <a:prstGeom prst="roundRect">
            <a:avLst/>
          </a:prstGeom>
          <a:solidFill>
            <a:srgbClr val="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Rectangle: Rounded Corners 28">
            <a:extLst>
              <a:ext uri="{FF2B5EF4-FFF2-40B4-BE49-F238E27FC236}">
                <a16:creationId xmlns:a16="http://schemas.microsoft.com/office/drawing/2014/main" id="{077E2DDF-8F34-6FDC-D347-8FAD60BD5FD2}"/>
              </a:ext>
            </a:extLst>
          </xdr:cNvPr>
          <xdr:cNvSpPr/>
        </xdr:nvSpPr>
        <xdr:spPr>
          <a:xfrm rot="16200000">
            <a:off x="-55253" y="1304239"/>
            <a:ext cx="1048395" cy="824207"/>
          </a:xfrm>
          <a:prstGeom prst="roundRect">
            <a:avLst/>
          </a:prstGeom>
          <a:solidFill>
            <a:srgbClr val="0070C0"/>
          </a:solidFill>
          <a:ln>
            <a:solidFill>
              <a:srgbClr val="0070C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ales_data!K9">
        <xdr:nvSpPr>
          <xdr:cNvPr id="30" name="TextBox 29">
            <a:extLst>
              <a:ext uri="{FF2B5EF4-FFF2-40B4-BE49-F238E27FC236}">
                <a16:creationId xmlns:a16="http://schemas.microsoft.com/office/drawing/2014/main" id="{6F10E59F-7CD7-AD26-EDE5-1688D1FE5AB4}"/>
              </a:ext>
            </a:extLst>
          </xdr:cNvPr>
          <xdr:cNvSpPr txBox="1"/>
        </xdr:nvSpPr>
        <xdr:spPr>
          <a:xfrm>
            <a:off x="843123" y="1656107"/>
            <a:ext cx="2297804" cy="319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96F82E-3CF4-45A8-BD9B-20A8841D1665}" type="TxLink">
              <a:rPr lang="en-US" sz="2400" b="1" i="0" u="none" strike="noStrike">
                <a:solidFill>
                  <a:schemeClr val="accent1">
                    <a:lumMod val="50000"/>
                  </a:schemeClr>
                </a:solidFill>
                <a:latin typeface="Arial" panose="020B0604020202020204" pitchFamily="34" charset="0"/>
                <a:ea typeface="Calibri"/>
                <a:cs typeface="Arial" panose="020B0604020202020204" pitchFamily="34" charset="0"/>
              </a:rPr>
              <a:pPr algn="ctr"/>
              <a:t>1762275.38</a:t>
            </a:fld>
            <a:endParaRPr lang="en-IN" sz="2400" b="1">
              <a:solidFill>
                <a:schemeClr val="accent1">
                  <a:lumMod val="50000"/>
                </a:schemeClr>
              </a:solidFill>
              <a:latin typeface="Arial" panose="020B0604020202020204" pitchFamily="34" charset="0"/>
              <a:cs typeface="Arial" panose="020B0604020202020204" pitchFamily="34" charset="0"/>
            </a:endParaRPr>
          </a:p>
        </xdr:txBody>
      </xdr:sp>
      <xdr:sp macro="" textlink="">
        <xdr:nvSpPr>
          <xdr:cNvPr id="31" name="TextBox 30">
            <a:extLst>
              <a:ext uri="{FF2B5EF4-FFF2-40B4-BE49-F238E27FC236}">
                <a16:creationId xmlns:a16="http://schemas.microsoft.com/office/drawing/2014/main" id="{B0563176-64C0-F2BC-2F11-EA096CE55BA7}"/>
              </a:ext>
            </a:extLst>
          </xdr:cNvPr>
          <xdr:cNvSpPr txBox="1"/>
        </xdr:nvSpPr>
        <xdr:spPr>
          <a:xfrm>
            <a:off x="1450159" y="1233416"/>
            <a:ext cx="1886917" cy="38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1">
                <a:solidFill>
                  <a:srgbClr val="002060"/>
                </a:solidFill>
                <a:latin typeface="Arial" panose="020B0604020202020204" pitchFamily="34" charset="0"/>
                <a:cs typeface="Arial" panose="020B0604020202020204" pitchFamily="34" charset="0"/>
              </a:rPr>
              <a:t>PROFIT</a:t>
            </a:r>
          </a:p>
        </xdr:txBody>
      </xdr:sp>
    </xdr:grpSp>
    <xdr:clientData/>
  </xdr:twoCellAnchor>
  <xdr:twoCellAnchor editAs="oneCell">
    <xdr:from>
      <xdr:col>11</xdr:col>
      <xdr:colOff>245533</xdr:colOff>
      <xdr:row>8</xdr:row>
      <xdr:rowOff>59267</xdr:rowOff>
    </xdr:from>
    <xdr:to>
      <xdr:col>11</xdr:col>
      <xdr:colOff>605533</xdr:colOff>
      <xdr:row>10</xdr:row>
      <xdr:rowOff>47147</xdr:rowOff>
    </xdr:to>
    <xdr:pic>
      <xdr:nvPicPr>
        <xdr:cNvPr id="71" name="Graphic 70" descr="Gold bars">
          <a:extLst>
            <a:ext uri="{FF2B5EF4-FFF2-40B4-BE49-F238E27FC236}">
              <a16:creationId xmlns:a16="http://schemas.microsoft.com/office/drawing/2014/main" id="{2C2B2F7F-D05D-8444-33FC-DAA0B0AF7D6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51133" y="1549400"/>
          <a:ext cx="360000" cy="360414"/>
        </a:xfrm>
        <a:prstGeom prst="rect">
          <a:avLst/>
        </a:prstGeom>
      </xdr:spPr>
    </xdr:pic>
    <xdr:clientData/>
  </xdr:twoCellAnchor>
  <xdr:twoCellAnchor editAs="oneCell">
    <xdr:from>
      <xdr:col>5</xdr:col>
      <xdr:colOff>547933</xdr:colOff>
      <xdr:row>8</xdr:row>
      <xdr:rowOff>90734</xdr:rowOff>
    </xdr:from>
    <xdr:to>
      <xdr:col>6</xdr:col>
      <xdr:colOff>298333</xdr:colOff>
      <xdr:row>10</xdr:row>
      <xdr:rowOff>79026</xdr:rowOff>
    </xdr:to>
    <xdr:pic>
      <xdr:nvPicPr>
        <xdr:cNvPr id="73" name="Graphic 72" descr="Coins">
          <a:extLst>
            <a:ext uri="{FF2B5EF4-FFF2-40B4-BE49-F238E27FC236}">
              <a16:creationId xmlns:a16="http://schemas.microsoft.com/office/drawing/2014/main" id="{94C6A052-9D7F-F526-FE0C-AAB19D5F38B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95933" y="1580867"/>
          <a:ext cx="360000" cy="360826"/>
        </a:xfrm>
        <a:prstGeom prst="rect">
          <a:avLst/>
        </a:prstGeom>
      </xdr:spPr>
    </xdr:pic>
    <xdr:clientData/>
  </xdr:twoCellAnchor>
  <xdr:twoCellAnchor editAs="oneCell">
    <xdr:from>
      <xdr:col>0</xdr:col>
      <xdr:colOff>266133</xdr:colOff>
      <xdr:row>8</xdr:row>
      <xdr:rowOff>88746</xdr:rowOff>
    </xdr:from>
    <xdr:to>
      <xdr:col>1</xdr:col>
      <xdr:colOff>12816</xdr:colOff>
      <xdr:row>10</xdr:row>
      <xdr:rowOff>77038</xdr:rowOff>
    </xdr:to>
    <xdr:pic>
      <xdr:nvPicPr>
        <xdr:cNvPr id="75" name="Graphic 74" descr="Rupee">
          <a:extLst>
            <a:ext uri="{FF2B5EF4-FFF2-40B4-BE49-F238E27FC236}">
              <a16:creationId xmlns:a16="http://schemas.microsoft.com/office/drawing/2014/main" id="{3529FF33-F02D-0D42-D9DC-C98BAF78661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66133" y="1578879"/>
          <a:ext cx="356283" cy="360826"/>
        </a:xfrm>
        <a:prstGeom prst="rect">
          <a:avLst/>
        </a:prstGeom>
      </xdr:spPr>
    </xdr:pic>
    <xdr:clientData/>
  </xdr:twoCellAnchor>
  <xdr:twoCellAnchor editAs="oneCell">
    <xdr:from>
      <xdr:col>16</xdr:col>
      <xdr:colOff>492334</xdr:colOff>
      <xdr:row>8</xdr:row>
      <xdr:rowOff>86759</xdr:rowOff>
    </xdr:from>
    <xdr:to>
      <xdr:col>17</xdr:col>
      <xdr:colOff>239017</xdr:colOff>
      <xdr:row>10</xdr:row>
      <xdr:rowOff>75051</xdr:rowOff>
    </xdr:to>
    <xdr:pic>
      <xdr:nvPicPr>
        <xdr:cNvPr id="77" name="Graphic 76" descr="Upward trend">
          <a:extLst>
            <a:ext uri="{FF2B5EF4-FFF2-40B4-BE49-F238E27FC236}">
              <a16:creationId xmlns:a16="http://schemas.microsoft.com/office/drawing/2014/main" id="{DE45650B-B3C4-01AF-C4EF-729A3DD2ED8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245934" y="1576892"/>
          <a:ext cx="356283" cy="360826"/>
        </a:xfrm>
        <a:prstGeom prst="rect">
          <a:avLst/>
        </a:prstGeom>
      </xdr:spPr>
    </xdr:pic>
    <xdr:clientData/>
  </xdr:twoCellAnchor>
  <xdr:twoCellAnchor>
    <xdr:from>
      <xdr:col>9</xdr:col>
      <xdr:colOff>499533</xdr:colOff>
      <xdr:row>0</xdr:row>
      <xdr:rowOff>177800</xdr:rowOff>
    </xdr:from>
    <xdr:to>
      <xdr:col>18</xdr:col>
      <xdr:colOff>76201</xdr:colOff>
      <xdr:row>4</xdr:row>
      <xdr:rowOff>110066</xdr:rowOff>
    </xdr:to>
    <xdr:sp macro="" textlink="">
      <xdr:nvSpPr>
        <xdr:cNvPr id="78" name="TextBox 77">
          <a:extLst>
            <a:ext uri="{FF2B5EF4-FFF2-40B4-BE49-F238E27FC236}">
              <a16:creationId xmlns:a16="http://schemas.microsoft.com/office/drawing/2014/main" id="{1FAAF2EB-7749-2965-1BF3-B99FD859556B}"/>
            </a:ext>
          </a:extLst>
        </xdr:cNvPr>
        <xdr:cNvSpPr txBox="1"/>
      </xdr:nvSpPr>
      <xdr:spPr>
        <a:xfrm>
          <a:off x="5985933" y="177800"/>
          <a:ext cx="5063068" cy="677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800" b="1">
              <a:solidFill>
                <a:schemeClr val="accent1">
                  <a:lumMod val="50000"/>
                </a:schemeClr>
              </a:solidFill>
              <a:latin typeface="Arial" panose="020B0604020202020204" pitchFamily="34" charset="0"/>
              <a:cs typeface="Arial" panose="020B0604020202020204" pitchFamily="34" charset="0"/>
            </a:rPr>
            <a:t>Sales Dashboard</a:t>
          </a:r>
          <a:r>
            <a:rPr lang="en-IN" sz="2800" b="1" baseline="0">
              <a:solidFill>
                <a:schemeClr val="accent1">
                  <a:lumMod val="50000"/>
                </a:schemeClr>
              </a:solidFill>
              <a:latin typeface="Arial" panose="020B0604020202020204" pitchFamily="34" charset="0"/>
              <a:cs typeface="Arial" panose="020B0604020202020204" pitchFamily="34" charset="0"/>
            </a:rPr>
            <a:t> -2025</a:t>
          </a:r>
          <a:endParaRPr lang="en-IN" sz="2800" b="1">
            <a:solidFill>
              <a:schemeClr val="accent1">
                <a:lumMod val="50000"/>
              </a:schemeClr>
            </a:solidFill>
            <a:latin typeface="Arial" panose="020B0604020202020204" pitchFamily="34" charset="0"/>
            <a:cs typeface="Arial" panose="020B0604020202020204" pitchFamily="34" charset="0"/>
          </a:endParaRPr>
        </a:p>
      </xdr:txBody>
    </xdr:sp>
    <xdr:clientData/>
  </xdr:twoCellAnchor>
  <xdr:twoCellAnchor editAs="oneCell">
    <xdr:from>
      <xdr:col>8</xdr:col>
      <xdr:colOff>101600</xdr:colOff>
      <xdr:row>0</xdr:row>
      <xdr:rowOff>59266</xdr:rowOff>
    </xdr:from>
    <xdr:to>
      <xdr:col>9</xdr:col>
      <xdr:colOff>406400</xdr:colOff>
      <xdr:row>5</xdr:row>
      <xdr:rowOff>42333</xdr:rowOff>
    </xdr:to>
    <xdr:pic>
      <xdr:nvPicPr>
        <xdr:cNvPr id="80" name="Graphic 79" descr="Business Growth">
          <a:extLst>
            <a:ext uri="{FF2B5EF4-FFF2-40B4-BE49-F238E27FC236}">
              <a16:creationId xmlns:a16="http://schemas.microsoft.com/office/drawing/2014/main" id="{DDC1A7AF-D115-9994-E47C-E2CFCD4BAF4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978400" y="59266"/>
          <a:ext cx="914400" cy="914400"/>
        </a:xfrm>
        <a:prstGeom prst="rect">
          <a:avLst/>
        </a:prstGeom>
      </xdr:spPr>
    </xdr:pic>
    <xdr:clientData/>
  </xdr:twoCellAnchor>
  <xdr:twoCellAnchor editAs="oneCell">
    <xdr:from>
      <xdr:col>21</xdr:col>
      <xdr:colOff>575733</xdr:colOff>
      <xdr:row>7</xdr:row>
      <xdr:rowOff>25401</xdr:rowOff>
    </xdr:from>
    <xdr:to>
      <xdr:col>25</xdr:col>
      <xdr:colOff>575733</xdr:colOff>
      <xdr:row>12</xdr:row>
      <xdr:rowOff>138068</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D042A24A-5A02-44BB-B563-29F2C175E83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304597" y="1298287"/>
              <a:ext cx="2424545" cy="10218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101598</xdr:colOff>
      <xdr:row>22</xdr:row>
      <xdr:rowOff>129606</xdr:rowOff>
    </xdr:from>
    <xdr:to>
      <xdr:col>3</xdr:col>
      <xdr:colOff>101598</xdr:colOff>
      <xdr:row>32</xdr:row>
      <xdr:rowOff>108857</xdr:rowOff>
    </xdr:to>
    <mc:AlternateContent xmlns:mc="http://schemas.openxmlformats.org/markup-compatibility/2006" xmlns:a14="http://schemas.microsoft.com/office/drawing/2010/main">
      <mc:Choice Requires="a14">
        <xdr:graphicFrame macro="">
          <xdr:nvGraphicFramePr>
            <xdr:cNvPr id="5" name="Sales Person 1">
              <a:extLst>
                <a:ext uri="{FF2B5EF4-FFF2-40B4-BE49-F238E27FC236}">
                  <a16:creationId xmlns:a16="http://schemas.microsoft.com/office/drawing/2014/main" id="{EBDC1222-B7B0-4118-A178-9F23CC39F5F1}"/>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101598" y="4147424"/>
              <a:ext cx="1818409" cy="1797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106289</xdr:colOff>
      <xdr:row>12</xdr:row>
      <xdr:rowOff>130387</xdr:rowOff>
    </xdr:from>
    <xdr:to>
      <xdr:col>3</xdr:col>
      <xdr:colOff>106289</xdr:colOff>
      <xdr:row>22</xdr:row>
      <xdr:rowOff>87923</xdr:rowOff>
    </xdr:to>
    <mc:AlternateContent xmlns:mc="http://schemas.openxmlformats.org/markup-compatibility/2006" xmlns:a14="http://schemas.microsoft.com/office/drawing/2010/main">
      <mc:Choice Requires="a14">
        <xdr:graphicFrame macro="">
          <xdr:nvGraphicFramePr>
            <xdr:cNvPr id="8" name="Product 1">
              <a:extLst>
                <a:ext uri="{FF2B5EF4-FFF2-40B4-BE49-F238E27FC236}">
                  <a16:creationId xmlns:a16="http://schemas.microsoft.com/office/drawing/2014/main" id="{8A208C49-58FB-4170-ACA8-2E867529DA9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06289" y="2312478"/>
              <a:ext cx="1818409" cy="17932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135549</xdr:colOff>
      <xdr:row>12</xdr:row>
      <xdr:rowOff>166075</xdr:rowOff>
    </xdr:from>
    <xdr:to>
      <xdr:col>14</xdr:col>
      <xdr:colOff>83343</xdr:colOff>
      <xdr:row>29</xdr:row>
      <xdr:rowOff>68384</xdr:rowOff>
    </xdr:to>
    <xdr:sp macro="" textlink="">
      <xdr:nvSpPr>
        <xdr:cNvPr id="11" name="Rectangle: Rounded Corners 10">
          <a:extLst>
            <a:ext uri="{FF2B5EF4-FFF2-40B4-BE49-F238E27FC236}">
              <a16:creationId xmlns:a16="http://schemas.microsoft.com/office/drawing/2014/main" id="{B73E465B-7F1C-4A38-8567-58B5A8F63B59}"/>
            </a:ext>
          </a:extLst>
        </xdr:cNvPr>
        <xdr:cNvSpPr/>
      </xdr:nvSpPr>
      <xdr:spPr>
        <a:xfrm>
          <a:off x="1957205" y="2309200"/>
          <a:ext cx="6627201" cy="2962215"/>
        </a:xfrm>
        <a:prstGeom prst="roundRect">
          <a:avLst>
            <a:gd name="adj" fmla="val 0"/>
          </a:avLst>
        </a:prstGeom>
        <a:solidFill>
          <a:srgbClr val="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1">
                  <a:lumMod val="75000"/>
                </a:schemeClr>
              </a:solidFill>
            </a:rPr>
            <a:t>UNIT</a:t>
          </a:r>
          <a:r>
            <a:rPr lang="en-IN" sz="1100" b="1" baseline="0">
              <a:solidFill>
                <a:schemeClr val="accent1">
                  <a:lumMod val="75000"/>
                </a:schemeClr>
              </a:solidFill>
            </a:rPr>
            <a:t> SOLD BY PRODUCT</a:t>
          </a:r>
          <a:endParaRPr lang="en-IN" sz="1100" b="1">
            <a:solidFill>
              <a:schemeClr val="accent1">
                <a:lumMod val="75000"/>
              </a:schemeClr>
            </a:solidFill>
          </a:endParaRPr>
        </a:p>
      </xdr:txBody>
    </xdr:sp>
    <xdr:clientData/>
  </xdr:twoCellAnchor>
  <xdr:twoCellAnchor>
    <xdr:from>
      <xdr:col>3</xdr:col>
      <xdr:colOff>478694</xdr:colOff>
      <xdr:row>14</xdr:row>
      <xdr:rowOff>156306</xdr:rowOff>
    </xdr:from>
    <xdr:to>
      <xdr:col>13</xdr:col>
      <xdr:colOff>238125</xdr:colOff>
      <xdr:row>28</xdr:row>
      <xdr:rowOff>0</xdr:rowOff>
    </xdr:to>
    <xdr:graphicFrame macro="">
      <xdr:nvGraphicFramePr>
        <xdr:cNvPr id="12" name="Chart 11">
          <a:extLst>
            <a:ext uri="{FF2B5EF4-FFF2-40B4-BE49-F238E27FC236}">
              <a16:creationId xmlns:a16="http://schemas.microsoft.com/office/drawing/2014/main" id="{1F4C2B8A-ABDA-4A06-B2B9-712CC728C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62933</xdr:colOff>
      <xdr:row>12</xdr:row>
      <xdr:rowOff>162413</xdr:rowOff>
    </xdr:from>
    <xdr:to>
      <xdr:col>25</xdr:col>
      <xdr:colOff>598714</xdr:colOff>
      <xdr:row>29</xdr:row>
      <xdr:rowOff>71743</xdr:rowOff>
    </xdr:to>
    <xdr:sp macro="" textlink="">
      <xdr:nvSpPr>
        <xdr:cNvPr id="13" name="Rectangle: Rounded Corners 12">
          <a:extLst>
            <a:ext uri="{FF2B5EF4-FFF2-40B4-BE49-F238E27FC236}">
              <a16:creationId xmlns:a16="http://schemas.microsoft.com/office/drawing/2014/main" id="{C331E62B-E9DF-483E-A93B-067F118F759E}"/>
            </a:ext>
          </a:extLst>
        </xdr:cNvPr>
        <xdr:cNvSpPr/>
      </xdr:nvSpPr>
      <xdr:spPr>
        <a:xfrm>
          <a:off x="8635433" y="2285127"/>
          <a:ext cx="7271317" cy="2943723"/>
        </a:xfrm>
        <a:prstGeom prst="roundRect">
          <a:avLst>
            <a:gd name="adj" fmla="val 0"/>
          </a:avLst>
        </a:prstGeom>
        <a:solidFill>
          <a:srgbClr val="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solidFill>
                <a:schemeClr val="accent1">
                  <a:lumMod val="75000"/>
                </a:schemeClr>
              </a:solidFill>
            </a:rPr>
            <a:t>TOTAL SALES  BY REGION</a:t>
          </a:r>
          <a:endParaRPr lang="en-IN" sz="1100" b="1">
            <a:solidFill>
              <a:schemeClr val="accent1">
                <a:lumMod val="75000"/>
              </a:schemeClr>
            </a:solidFill>
          </a:endParaRPr>
        </a:p>
      </xdr:txBody>
    </xdr:sp>
    <xdr:clientData/>
  </xdr:twoCellAnchor>
  <xdr:twoCellAnchor>
    <xdr:from>
      <xdr:col>3</xdr:col>
      <xdr:colOff>117361</xdr:colOff>
      <xdr:row>29</xdr:row>
      <xdr:rowOff>17009</xdr:rowOff>
    </xdr:from>
    <xdr:to>
      <xdr:col>14</xdr:col>
      <xdr:colOff>69736</xdr:colOff>
      <xdr:row>45</xdr:row>
      <xdr:rowOff>127044</xdr:rowOff>
    </xdr:to>
    <xdr:sp macro="" textlink="">
      <xdr:nvSpPr>
        <xdr:cNvPr id="14" name="Rectangle: Rounded Corners 13">
          <a:extLst>
            <a:ext uri="{FF2B5EF4-FFF2-40B4-BE49-F238E27FC236}">
              <a16:creationId xmlns:a16="http://schemas.microsoft.com/office/drawing/2014/main" id="{4C963C13-07D2-49E4-B89A-E9ACE90975C1}"/>
            </a:ext>
          </a:extLst>
        </xdr:cNvPr>
        <xdr:cNvSpPr/>
      </xdr:nvSpPr>
      <xdr:spPr>
        <a:xfrm>
          <a:off x="1954325" y="5174116"/>
          <a:ext cx="6687911" cy="2940321"/>
        </a:xfrm>
        <a:prstGeom prst="roundRect">
          <a:avLst>
            <a:gd name="adj" fmla="val 0"/>
          </a:avLst>
        </a:prstGeom>
        <a:solidFill>
          <a:srgbClr val="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solidFill>
                <a:schemeClr val="accent1">
                  <a:lumMod val="75000"/>
                </a:schemeClr>
              </a:solidFill>
            </a:rPr>
            <a:t>TOTAL SALES BY PRODUCT</a:t>
          </a:r>
          <a:endParaRPr lang="en-IN" sz="1100" b="1">
            <a:solidFill>
              <a:schemeClr val="accent1">
                <a:lumMod val="75000"/>
              </a:schemeClr>
            </a:solidFill>
          </a:endParaRPr>
        </a:p>
      </xdr:txBody>
    </xdr:sp>
    <xdr:clientData/>
  </xdr:twoCellAnchor>
  <xdr:twoCellAnchor>
    <xdr:from>
      <xdr:col>14</xdr:col>
      <xdr:colOff>85045</xdr:colOff>
      <xdr:row>29</xdr:row>
      <xdr:rowOff>85047</xdr:rowOff>
    </xdr:from>
    <xdr:to>
      <xdr:col>26</xdr:col>
      <xdr:colOff>27213</xdr:colOff>
      <xdr:row>46</xdr:row>
      <xdr:rowOff>18189</xdr:rowOff>
    </xdr:to>
    <xdr:sp macro="" textlink="">
      <xdr:nvSpPr>
        <xdr:cNvPr id="16" name="Rectangle: Rounded Corners 15">
          <a:extLst>
            <a:ext uri="{FF2B5EF4-FFF2-40B4-BE49-F238E27FC236}">
              <a16:creationId xmlns:a16="http://schemas.microsoft.com/office/drawing/2014/main" id="{A6A5DF61-E3E3-4E1E-A897-48AB8716072F}"/>
            </a:ext>
          </a:extLst>
        </xdr:cNvPr>
        <xdr:cNvSpPr/>
      </xdr:nvSpPr>
      <xdr:spPr>
        <a:xfrm>
          <a:off x="8657545" y="5242154"/>
          <a:ext cx="7290025" cy="2940321"/>
        </a:xfrm>
        <a:prstGeom prst="roundRect">
          <a:avLst>
            <a:gd name="adj" fmla="val 0"/>
          </a:avLst>
        </a:prstGeom>
        <a:solidFill>
          <a:srgbClr val="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1">
                  <a:lumMod val="75000"/>
                </a:schemeClr>
              </a:solidFill>
            </a:rPr>
            <a:t>UNIT</a:t>
          </a:r>
          <a:r>
            <a:rPr lang="en-IN" sz="1100" b="1" baseline="0">
              <a:solidFill>
                <a:schemeClr val="accent1">
                  <a:lumMod val="75000"/>
                </a:schemeClr>
              </a:solidFill>
            </a:rPr>
            <a:t> SALES BY SALES PRODUCT</a:t>
          </a:r>
          <a:endParaRPr lang="en-IN" sz="1100" b="1">
            <a:solidFill>
              <a:schemeClr val="accent1">
                <a:lumMod val="75000"/>
              </a:schemeClr>
            </a:solidFill>
          </a:endParaRPr>
        </a:p>
      </xdr:txBody>
    </xdr:sp>
    <xdr:clientData/>
  </xdr:twoCellAnchor>
  <xdr:twoCellAnchor>
    <xdr:from>
      <xdr:col>15</xdr:col>
      <xdr:colOff>239827</xdr:colOff>
      <xdr:row>14</xdr:row>
      <xdr:rowOff>79942</xdr:rowOff>
    </xdr:from>
    <xdr:to>
      <xdr:col>23</xdr:col>
      <xdr:colOff>602116</xdr:colOff>
      <xdr:row>28</xdr:row>
      <xdr:rowOff>32317</xdr:rowOff>
    </xdr:to>
    <xdr:graphicFrame macro="">
      <xdr:nvGraphicFramePr>
        <xdr:cNvPr id="32" name="Chart 31">
          <a:extLst>
            <a:ext uri="{FF2B5EF4-FFF2-40B4-BE49-F238E27FC236}">
              <a16:creationId xmlns:a16="http://schemas.microsoft.com/office/drawing/2014/main" id="{EEF606F9-280D-444F-9AC8-604578A85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129267</xdr:colOff>
      <xdr:row>30</xdr:row>
      <xdr:rowOff>130970</xdr:rowOff>
    </xdr:from>
    <xdr:to>
      <xdr:col>12</xdr:col>
      <xdr:colOff>476249</xdr:colOff>
      <xdr:row>44</xdr:row>
      <xdr:rowOff>54430</xdr:rowOff>
    </xdr:to>
    <xdr:graphicFrame macro="">
      <xdr:nvGraphicFramePr>
        <xdr:cNvPr id="33" name="Chart 32">
          <a:extLst>
            <a:ext uri="{FF2B5EF4-FFF2-40B4-BE49-F238E27FC236}">
              <a16:creationId xmlns:a16="http://schemas.microsoft.com/office/drawing/2014/main" id="{EC91D3A3-7543-4A9A-8E21-E59230580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285752</xdr:colOff>
      <xdr:row>31</xdr:row>
      <xdr:rowOff>171792</xdr:rowOff>
    </xdr:from>
    <xdr:to>
      <xdr:col>24</xdr:col>
      <xdr:colOff>81642</xdr:colOff>
      <xdr:row>45</xdr:row>
      <xdr:rowOff>122464</xdr:rowOff>
    </xdr:to>
    <xdr:graphicFrame macro="">
      <xdr:nvGraphicFramePr>
        <xdr:cNvPr id="34" name="Chart 33">
          <a:extLst>
            <a:ext uri="{FF2B5EF4-FFF2-40B4-BE49-F238E27FC236}">
              <a16:creationId xmlns:a16="http://schemas.microsoft.com/office/drawing/2014/main" id="{31B09B75-5521-4BA8-B50C-5286EFE87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53340</xdr:rowOff>
    </xdr:from>
    <xdr:to>
      <xdr:col>4</xdr:col>
      <xdr:colOff>1112520</xdr:colOff>
      <xdr:row>26</xdr:row>
      <xdr:rowOff>53340</xdr:rowOff>
    </xdr:to>
    <xdr:graphicFrame macro="">
      <xdr:nvGraphicFramePr>
        <xdr:cNvPr id="2" name="Chart 1">
          <a:extLst>
            <a:ext uri="{FF2B5EF4-FFF2-40B4-BE49-F238E27FC236}">
              <a16:creationId xmlns:a16="http://schemas.microsoft.com/office/drawing/2014/main" id="{DC122903-8CC6-4394-7E2D-4E28E29D9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1097280</xdr:colOff>
      <xdr:row>11</xdr:row>
      <xdr:rowOff>30480</xdr:rowOff>
    </xdr:from>
    <xdr:to>
      <xdr:col>10</xdr:col>
      <xdr:colOff>723900</xdr:colOff>
      <xdr:row>26</xdr:row>
      <xdr:rowOff>30480</xdr:rowOff>
    </xdr:to>
    <xdr:graphicFrame macro="">
      <xdr:nvGraphicFramePr>
        <xdr:cNvPr id="3" name="Chart 2">
          <a:extLst>
            <a:ext uri="{FF2B5EF4-FFF2-40B4-BE49-F238E27FC236}">
              <a16:creationId xmlns:a16="http://schemas.microsoft.com/office/drawing/2014/main" id="{C62524C6-317C-5A94-6890-3ECBC8C4F1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734402</xdr:colOff>
      <xdr:row>11</xdr:row>
      <xdr:rowOff>31630</xdr:rowOff>
    </xdr:from>
    <xdr:to>
      <xdr:col>17</xdr:col>
      <xdr:colOff>324868</xdr:colOff>
      <xdr:row>26</xdr:row>
      <xdr:rowOff>45905</xdr:rowOff>
    </xdr:to>
    <xdr:graphicFrame macro="">
      <xdr:nvGraphicFramePr>
        <xdr:cNvPr id="4" name="Chart 3">
          <a:extLst>
            <a:ext uri="{FF2B5EF4-FFF2-40B4-BE49-F238E27FC236}">
              <a16:creationId xmlns:a16="http://schemas.microsoft.com/office/drawing/2014/main" id="{DB84FF2A-BFBD-9804-784A-25FD9777D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339177</xdr:colOff>
      <xdr:row>11</xdr:row>
      <xdr:rowOff>30887</xdr:rowOff>
    </xdr:from>
    <xdr:to>
      <xdr:col>25</xdr:col>
      <xdr:colOff>486911</xdr:colOff>
      <xdr:row>26</xdr:row>
      <xdr:rowOff>82626</xdr:rowOff>
    </xdr:to>
    <xdr:graphicFrame macro="">
      <xdr:nvGraphicFramePr>
        <xdr:cNvPr id="5" name="Chart 4">
          <a:extLst>
            <a:ext uri="{FF2B5EF4-FFF2-40B4-BE49-F238E27FC236}">
              <a16:creationId xmlns:a16="http://schemas.microsoft.com/office/drawing/2014/main" id="{50C13A74-159F-1C3B-AC6E-8C01F7FF0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667137</xdr:colOff>
      <xdr:row>13</xdr:row>
      <xdr:rowOff>13031</xdr:rowOff>
    </xdr:from>
    <xdr:to>
      <xdr:col>12</xdr:col>
      <xdr:colOff>441850</xdr:colOff>
      <xdr:row>26</xdr:row>
      <xdr:rowOff>39398</xdr:rowOff>
    </xdr:to>
    <mc:AlternateContent xmlns:mc="http://schemas.openxmlformats.org/markup-compatibility/2006" xmlns:a14="http://schemas.microsoft.com/office/drawing/2010/main">
      <mc:Choice Requires="a14">
        <xdr:graphicFrame macro="">
          <xdr:nvGraphicFramePr>
            <xdr:cNvPr id="6" name="Sales Person">
              <a:extLst>
                <a:ext uri="{FF2B5EF4-FFF2-40B4-BE49-F238E27FC236}">
                  <a16:creationId xmlns:a16="http://schemas.microsoft.com/office/drawing/2014/main" id="{53A4FE89-6FDE-167C-2077-6151D20A5478}"/>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9214789" y="2453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329980</xdr:colOff>
      <xdr:row>24</xdr:row>
      <xdr:rowOff>117612</xdr:rowOff>
    </xdr:from>
    <xdr:to>
      <xdr:col>9</xdr:col>
      <xdr:colOff>154609</xdr:colOff>
      <xdr:row>29</xdr:row>
      <xdr:rowOff>55217</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9D6995AE-FE2E-2087-733F-8E033C946AF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22241" y="4623351"/>
              <a:ext cx="3181846" cy="876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765865</xdr:colOff>
      <xdr:row>18</xdr:row>
      <xdr:rowOff>34456</xdr:rowOff>
    </xdr:from>
    <xdr:to>
      <xdr:col>14</xdr:col>
      <xdr:colOff>297622</xdr:colOff>
      <xdr:row>31</xdr:row>
      <xdr:rowOff>60822</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85BB9A46-AF58-38D3-B3A5-35B279E86E3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174908" y="3413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07.659258449072" createdVersion="8" refreshedVersion="8" minRefreshableVersion="3" recordCount="200" xr:uid="{42A520DE-6088-47E5-A839-C34CFD39D631}">
  <cacheSource type="worksheet">
    <worksheetSource name="Table1"/>
  </cacheSource>
  <cacheFields count="9">
    <cacheField name="Date" numFmtId="14">
      <sharedItems containsSemiMixedTypes="0" containsNonDate="0" containsDate="1" containsString="0" minDate="2024-01-01T00:00:00" maxDate="2024-03-02T00:00:00"/>
    </cacheField>
    <cacheField name="Sales Person" numFmtId="0">
      <sharedItems count="5">
        <s v="Charlie Lee"/>
        <s v="Alice Johnson"/>
        <s v="Bob Smith"/>
        <s v="Ethan Brown"/>
        <s v="Diana Carter"/>
      </sharedItems>
    </cacheField>
    <cacheField name="Region" numFmtId="0">
      <sharedItems count="4">
        <s v="East"/>
        <s v="North"/>
        <s v="West"/>
        <s v="South"/>
      </sharedItems>
    </cacheField>
    <cacheField name="Product" numFmtId="0">
      <sharedItems count="5">
        <s v="Smartphone"/>
        <s v="Laptop"/>
        <s v="Printer"/>
        <s v="Tablet"/>
        <s v="Monitor"/>
      </sharedItems>
    </cacheField>
    <cacheField name="Unit Sold" numFmtId="0">
      <sharedItems containsSemiMixedTypes="0" containsString="0" containsNumber="1" containsInteger="1" minValue="1" maxValue="50"/>
    </cacheField>
    <cacheField name="Unit Price" numFmtId="0">
      <sharedItems containsSemiMixedTypes="0" containsString="0" containsNumber="1" containsInteger="1" minValue="108" maxValue="1988"/>
    </cacheField>
    <cacheField name="Cost of Goods" numFmtId="0">
      <sharedItems containsSemiMixedTypes="0" containsString="0" containsNumber="1" minValue="56.47" maxValue="1548.56"/>
    </cacheField>
    <cacheField name="Total Sales" numFmtId="0">
      <sharedItems containsSemiMixedTypes="0" containsString="0" containsNumber="1" containsInteger="1" minValue="266" maxValue="87354"/>
    </cacheField>
    <cacheField name="Profit" numFmtId="0">
      <sharedItems containsSemiMixedTypes="0" containsString="0" containsNumber="1" minValue="122.41" maxValue="35427.879999999997"/>
    </cacheField>
  </cacheFields>
  <extLst>
    <ext xmlns:x14="http://schemas.microsoft.com/office/spreadsheetml/2009/9/main" uri="{725AE2AE-9491-48be-B2B4-4EB974FC3084}">
      <x14:pivotCacheDefinition pivotCacheId="4308675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4-02-08T00:00:00"/>
    <x v="0"/>
    <x v="0"/>
    <x v="0"/>
    <n v="2"/>
    <n v="1681"/>
    <n v="1244.32"/>
    <n v="3362"/>
    <n v="873.36"/>
  </r>
  <r>
    <d v="2024-01-13T00:00:00"/>
    <x v="1"/>
    <x v="1"/>
    <x v="1"/>
    <n v="17"/>
    <n v="1080"/>
    <n v="824.95"/>
    <n v="18360"/>
    <n v="4335.79"/>
  </r>
  <r>
    <d v="2024-02-11T00:00:00"/>
    <x v="2"/>
    <x v="0"/>
    <x v="2"/>
    <n v="20"/>
    <n v="896"/>
    <n v="572.37"/>
    <n v="17920"/>
    <n v="6472.57"/>
  </r>
  <r>
    <d v="2024-01-08T00:00:00"/>
    <x v="1"/>
    <x v="1"/>
    <x v="2"/>
    <n v="6"/>
    <n v="413"/>
    <n v="214.32"/>
    <n v="2478"/>
    <n v="1192.07"/>
  </r>
  <r>
    <d v="2024-01-11T00:00:00"/>
    <x v="2"/>
    <x v="0"/>
    <x v="2"/>
    <n v="50"/>
    <n v="1174"/>
    <n v="809.9"/>
    <n v="58700"/>
    <n v="18205"/>
  </r>
  <r>
    <d v="2024-01-21T00:00:00"/>
    <x v="3"/>
    <x v="1"/>
    <x v="3"/>
    <n v="11"/>
    <n v="466"/>
    <n v="240.72"/>
    <n v="5126"/>
    <n v="2478.0300000000002"/>
  </r>
  <r>
    <d v="2024-01-19T00:00:00"/>
    <x v="4"/>
    <x v="1"/>
    <x v="0"/>
    <n v="11"/>
    <n v="1582"/>
    <n v="1248.55"/>
    <n v="17402"/>
    <n v="3667.9"/>
  </r>
  <r>
    <d v="2024-02-04T00:00:00"/>
    <x v="0"/>
    <x v="0"/>
    <x v="2"/>
    <n v="28"/>
    <n v="1040"/>
    <n v="687.89"/>
    <n v="29120"/>
    <n v="9859"/>
  </r>
  <r>
    <d v="2024-02-19T00:00:00"/>
    <x v="3"/>
    <x v="0"/>
    <x v="1"/>
    <n v="38"/>
    <n v="1932"/>
    <n v="999.69"/>
    <n v="73416"/>
    <n v="35427.879999999997"/>
  </r>
  <r>
    <d v="2024-02-10T00:00:00"/>
    <x v="1"/>
    <x v="2"/>
    <x v="3"/>
    <n v="28"/>
    <n v="521"/>
    <n v="315.43"/>
    <n v="14588"/>
    <n v="5755.95"/>
  </r>
  <r>
    <d v="2024-02-20T00:00:00"/>
    <x v="4"/>
    <x v="0"/>
    <x v="0"/>
    <n v="15"/>
    <n v="1487"/>
    <n v="768.28"/>
    <n v="22305"/>
    <n v="10780.86"/>
  </r>
  <r>
    <d v="2024-02-19T00:00:00"/>
    <x v="4"/>
    <x v="3"/>
    <x v="0"/>
    <n v="5"/>
    <n v="568"/>
    <n v="442.88"/>
    <n v="2840"/>
    <n v="625.59"/>
  </r>
  <r>
    <d v="2024-01-09T00:00:00"/>
    <x v="0"/>
    <x v="2"/>
    <x v="0"/>
    <n v="38"/>
    <n v="1419"/>
    <n v="860.61"/>
    <n v="53922"/>
    <n v="21218.68"/>
  </r>
  <r>
    <d v="2024-02-15T00:00:00"/>
    <x v="3"/>
    <x v="2"/>
    <x v="3"/>
    <n v="1"/>
    <n v="1349"/>
    <n v="977.74"/>
    <n v="1349"/>
    <n v="371.26"/>
  </r>
  <r>
    <d v="2024-01-11T00:00:00"/>
    <x v="0"/>
    <x v="2"/>
    <x v="0"/>
    <n v="9"/>
    <n v="543"/>
    <n v="339.97"/>
    <n v="4887"/>
    <n v="1827.27"/>
  </r>
  <r>
    <d v="2024-01-08T00:00:00"/>
    <x v="1"/>
    <x v="3"/>
    <x v="4"/>
    <n v="17"/>
    <n v="1389"/>
    <n v="898.89"/>
    <n v="23613"/>
    <n v="8331.93"/>
  </r>
  <r>
    <d v="2024-01-22T00:00:00"/>
    <x v="3"/>
    <x v="1"/>
    <x v="3"/>
    <n v="17"/>
    <n v="624"/>
    <n v="361.06"/>
    <n v="10608"/>
    <n v="4470.04"/>
  </r>
  <r>
    <d v="2024-01-30T00:00:00"/>
    <x v="1"/>
    <x v="1"/>
    <x v="0"/>
    <n v="17"/>
    <n v="1957"/>
    <n v="1548.56"/>
    <n v="33269"/>
    <n v="6943.46"/>
  </r>
  <r>
    <d v="2024-02-08T00:00:00"/>
    <x v="4"/>
    <x v="3"/>
    <x v="1"/>
    <n v="6"/>
    <n v="588"/>
    <n v="330.97"/>
    <n v="3528"/>
    <n v="1542.2"/>
  </r>
  <r>
    <d v="2024-01-30T00:00:00"/>
    <x v="3"/>
    <x v="3"/>
    <x v="4"/>
    <n v="27"/>
    <n v="314"/>
    <n v="219.45"/>
    <n v="8478"/>
    <n v="2552.92"/>
  </r>
  <r>
    <d v="2024-02-07T00:00:00"/>
    <x v="1"/>
    <x v="1"/>
    <x v="3"/>
    <n v="2"/>
    <n v="1822"/>
    <n v="1445.22"/>
    <n v="3644"/>
    <n v="753.56"/>
  </r>
  <r>
    <d v="2024-01-05T00:00:00"/>
    <x v="0"/>
    <x v="2"/>
    <x v="0"/>
    <n v="6"/>
    <n v="989"/>
    <n v="681.43"/>
    <n v="5934"/>
    <n v="1845.39"/>
  </r>
  <r>
    <d v="2024-01-28T00:00:00"/>
    <x v="0"/>
    <x v="1"/>
    <x v="2"/>
    <n v="8"/>
    <n v="202"/>
    <n v="102.91"/>
    <n v="1616"/>
    <n v="792.73"/>
  </r>
  <r>
    <d v="2024-02-20T00:00:00"/>
    <x v="3"/>
    <x v="2"/>
    <x v="4"/>
    <n v="4"/>
    <n v="749"/>
    <n v="536.41"/>
    <n v="2996"/>
    <n v="850.36"/>
  </r>
  <r>
    <d v="2024-01-08T00:00:00"/>
    <x v="1"/>
    <x v="0"/>
    <x v="3"/>
    <n v="16"/>
    <n v="411"/>
    <n v="226.87"/>
    <n v="6576"/>
    <n v="2946.06"/>
  </r>
  <r>
    <d v="2024-01-15T00:00:00"/>
    <x v="3"/>
    <x v="1"/>
    <x v="4"/>
    <n v="44"/>
    <n v="1024"/>
    <n v="740.91"/>
    <n v="45056"/>
    <n v="12456.14"/>
  </r>
  <r>
    <d v="2024-01-18T00:00:00"/>
    <x v="1"/>
    <x v="3"/>
    <x v="2"/>
    <n v="26"/>
    <n v="1806"/>
    <n v="1078.1500000000001"/>
    <n v="46956"/>
    <n v="18923.98"/>
  </r>
  <r>
    <d v="2024-02-05T00:00:00"/>
    <x v="0"/>
    <x v="3"/>
    <x v="0"/>
    <n v="33"/>
    <n v="1727"/>
    <n v="1324.05"/>
    <n v="56991"/>
    <n v="13297.48"/>
  </r>
  <r>
    <d v="2024-01-10T00:00:00"/>
    <x v="4"/>
    <x v="3"/>
    <x v="2"/>
    <n v="12"/>
    <n v="324"/>
    <n v="241.81"/>
    <n v="3888"/>
    <n v="986.27"/>
  </r>
  <r>
    <d v="2024-01-18T00:00:00"/>
    <x v="4"/>
    <x v="0"/>
    <x v="1"/>
    <n v="33"/>
    <n v="1732"/>
    <n v="875.86"/>
    <n v="57156"/>
    <n v="28252.59"/>
  </r>
  <r>
    <d v="2024-01-24T00:00:00"/>
    <x v="4"/>
    <x v="1"/>
    <x v="0"/>
    <n v="31"/>
    <n v="157"/>
    <n v="121.58"/>
    <n v="4867"/>
    <n v="1098.04"/>
  </r>
  <r>
    <d v="2024-02-16T00:00:00"/>
    <x v="1"/>
    <x v="2"/>
    <x v="3"/>
    <n v="27"/>
    <n v="1507"/>
    <n v="1181.6400000000001"/>
    <n v="40689"/>
    <n v="8784.66"/>
  </r>
  <r>
    <d v="2024-01-12T00:00:00"/>
    <x v="2"/>
    <x v="1"/>
    <x v="3"/>
    <n v="10"/>
    <n v="568"/>
    <n v="394"/>
    <n v="5680"/>
    <n v="1740"/>
  </r>
  <r>
    <d v="2024-02-20T00:00:00"/>
    <x v="2"/>
    <x v="0"/>
    <x v="4"/>
    <n v="26"/>
    <n v="330"/>
    <n v="225.06"/>
    <n v="8580"/>
    <n v="2728.55"/>
  </r>
  <r>
    <d v="2024-02-06T00:00:00"/>
    <x v="3"/>
    <x v="3"/>
    <x v="2"/>
    <n v="44"/>
    <n v="1340"/>
    <n v="949.5"/>
    <n v="58960"/>
    <n v="17182.080000000002"/>
  </r>
  <r>
    <d v="2024-01-08T00:00:00"/>
    <x v="3"/>
    <x v="1"/>
    <x v="0"/>
    <n v="48"/>
    <n v="585"/>
    <n v="367.7"/>
    <n v="28080"/>
    <n v="10430.6"/>
  </r>
  <r>
    <d v="2024-01-18T00:00:00"/>
    <x v="3"/>
    <x v="0"/>
    <x v="4"/>
    <n v="15"/>
    <n v="689"/>
    <n v="443.95"/>
    <n v="10335"/>
    <n v="3675.68"/>
  </r>
  <r>
    <d v="2024-02-24T00:00:00"/>
    <x v="2"/>
    <x v="2"/>
    <x v="4"/>
    <n v="14"/>
    <n v="1979"/>
    <n v="1001.13"/>
    <n v="27706"/>
    <n v="13690.17"/>
  </r>
  <r>
    <d v="2024-02-15T00:00:00"/>
    <x v="1"/>
    <x v="3"/>
    <x v="1"/>
    <n v="34"/>
    <n v="1983"/>
    <n v="1321.86"/>
    <n v="67422"/>
    <n v="22478.86"/>
  </r>
  <r>
    <d v="2024-01-22T00:00:00"/>
    <x v="0"/>
    <x v="3"/>
    <x v="2"/>
    <n v="42"/>
    <n v="337"/>
    <n v="225.09"/>
    <n v="14154"/>
    <n v="4700.34"/>
  </r>
  <r>
    <d v="2024-01-06T00:00:00"/>
    <x v="0"/>
    <x v="1"/>
    <x v="2"/>
    <n v="24"/>
    <n v="1831"/>
    <n v="1326.56"/>
    <n v="43944"/>
    <n v="12106.55"/>
  </r>
  <r>
    <d v="2024-01-31T00:00:00"/>
    <x v="4"/>
    <x v="1"/>
    <x v="4"/>
    <n v="37"/>
    <n v="276"/>
    <n v="212.65"/>
    <n v="10212"/>
    <n v="2343.9699999999998"/>
  </r>
  <r>
    <d v="2024-02-15T00:00:00"/>
    <x v="3"/>
    <x v="2"/>
    <x v="4"/>
    <n v="28"/>
    <n v="1140"/>
    <n v="814.67"/>
    <n v="31920"/>
    <n v="9109.3799999999992"/>
  </r>
  <r>
    <d v="2024-01-16T00:00:00"/>
    <x v="3"/>
    <x v="1"/>
    <x v="0"/>
    <n v="35"/>
    <n v="1306"/>
    <n v="948.37"/>
    <n v="45710"/>
    <n v="12517.08"/>
  </r>
  <r>
    <d v="2024-01-06T00:00:00"/>
    <x v="4"/>
    <x v="0"/>
    <x v="2"/>
    <n v="5"/>
    <n v="1360"/>
    <n v="722.16"/>
    <n v="6800"/>
    <n v="3189.2"/>
  </r>
  <r>
    <d v="2024-02-04T00:00:00"/>
    <x v="0"/>
    <x v="0"/>
    <x v="2"/>
    <n v="39"/>
    <n v="124"/>
    <n v="64.8"/>
    <n v="4836"/>
    <n v="2308.9299999999998"/>
  </r>
  <r>
    <d v="2024-01-02T00:00:00"/>
    <x v="4"/>
    <x v="0"/>
    <x v="3"/>
    <n v="46"/>
    <n v="1868"/>
    <n v="1439.11"/>
    <n v="85928"/>
    <n v="19729.12"/>
  </r>
  <r>
    <d v="2024-01-14T00:00:00"/>
    <x v="4"/>
    <x v="3"/>
    <x v="1"/>
    <n v="17"/>
    <n v="199"/>
    <n v="121.31"/>
    <n v="3383"/>
    <n v="1320.74"/>
  </r>
  <r>
    <d v="2024-01-05T00:00:00"/>
    <x v="3"/>
    <x v="0"/>
    <x v="2"/>
    <n v="4"/>
    <n v="1025"/>
    <n v="781.98"/>
    <n v="4100"/>
    <n v="972.09"/>
  </r>
  <r>
    <d v="2024-01-25T00:00:00"/>
    <x v="2"/>
    <x v="0"/>
    <x v="3"/>
    <n v="10"/>
    <n v="1289"/>
    <n v="828"/>
    <n v="12890"/>
    <n v="4609.96"/>
  </r>
  <r>
    <d v="2024-01-17T00:00:00"/>
    <x v="0"/>
    <x v="0"/>
    <x v="3"/>
    <n v="6"/>
    <n v="1569"/>
    <n v="1075.98"/>
    <n v="9414"/>
    <n v="2958.15"/>
  </r>
  <r>
    <d v="2024-02-05T00:00:00"/>
    <x v="3"/>
    <x v="3"/>
    <x v="4"/>
    <n v="27"/>
    <n v="726"/>
    <n v="407.44"/>
    <n v="19602"/>
    <n v="8601.2099999999991"/>
  </r>
  <r>
    <d v="2024-01-25T00:00:00"/>
    <x v="1"/>
    <x v="0"/>
    <x v="2"/>
    <n v="24"/>
    <n v="871"/>
    <n v="640.70000000000005"/>
    <n v="20904"/>
    <n v="5527.17"/>
  </r>
  <r>
    <d v="2024-02-12T00:00:00"/>
    <x v="4"/>
    <x v="1"/>
    <x v="1"/>
    <n v="29"/>
    <n v="786"/>
    <n v="471.75"/>
    <n v="22794"/>
    <n v="9113.35"/>
  </r>
  <r>
    <d v="2024-01-16T00:00:00"/>
    <x v="3"/>
    <x v="2"/>
    <x v="1"/>
    <n v="10"/>
    <n v="806"/>
    <n v="432.06"/>
    <n v="8060"/>
    <n v="3739.37"/>
  </r>
  <r>
    <d v="2024-01-06T00:00:00"/>
    <x v="4"/>
    <x v="1"/>
    <x v="2"/>
    <n v="46"/>
    <n v="1899"/>
    <n v="1396.88"/>
    <n v="87354"/>
    <n v="23097.42"/>
  </r>
  <r>
    <d v="2024-01-21T00:00:00"/>
    <x v="1"/>
    <x v="1"/>
    <x v="4"/>
    <n v="49"/>
    <n v="1462"/>
    <n v="1025.95"/>
    <n v="71638"/>
    <n v="21366.34"/>
  </r>
  <r>
    <d v="2024-02-19T00:00:00"/>
    <x v="4"/>
    <x v="1"/>
    <x v="4"/>
    <n v="15"/>
    <n v="782"/>
    <n v="478.06"/>
    <n v="11730"/>
    <n v="4559.17"/>
  </r>
  <r>
    <d v="2024-02-02T00:00:00"/>
    <x v="2"/>
    <x v="1"/>
    <x v="3"/>
    <n v="43"/>
    <n v="977"/>
    <n v="689.46"/>
    <n v="42011"/>
    <n v="12364.33"/>
  </r>
  <r>
    <d v="2024-01-07T00:00:00"/>
    <x v="3"/>
    <x v="1"/>
    <x v="3"/>
    <n v="12"/>
    <n v="587"/>
    <n v="419.71"/>
    <n v="7044"/>
    <n v="2007.45"/>
  </r>
  <r>
    <d v="2024-01-08T00:00:00"/>
    <x v="3"/>
    <x v="2"/>
    <x v="1"/>
    <n v="16"/>
    <n v="1815"/>
    <n v="1271.26"/>
    <n v="29040"/>
    <n v="8699.7900000000009"/>
  </r>
  <r>
    <d v="2024-02-23T00:00:00"/>
    <x v="1"/>
    <x v="2"/>
    <x v="1"/>
    <n v="30"/>
    <n v="1984"/>
    <n v="1274.8499999999999"/>
    <n v="59520"/>
    <n v="21274.52"/>
  </r>
  <r>
    <d v="2024-01-21T00:00:00"/>
    <x v="4"/>
    <x v="0"/>
    <x v="1"/>
    <n v="42"/>
    <n v="1468"/>
    <n v="782.86"/>
    <n v="61656"/>
    <n v="28775.87"/>
  </r>
  <r>
    <d v="2024-01-13T00:00:00"/>
    <x v="4"/>
    <x v="3"/>
    <x v="1"/>
    <n v="4"/>
    <n v="358"/>
    <n v="198.11"/>
    <n v="1432"/>
    <n v="639.54"/>
  </r>
  <r>
    <d v="2024-01-02T00:00:00"/>
    <x v="1"/>
    <x v="1"/>
    <x v="4"/>
    <n v="26"/>
    <n v="876"/>
    <n v="661.94"/>
    <n v="22776"/>
    <n v="5565.67"/>
  </r>
  <r>
    <d v="2024-01-05T00:00:00"/>
    <x v="4"/>
    <x v="0"/>
    <x v="3"/>
    <n v="33"/>
    <n v="891"/>
    <n v="579.79999999999995"/>
    <n v="29403"/>
    <n v="10269.540000000001"/>
  </r>
  <r>
    <d v="2024-01-15T00:00:00"/>
    <x v="4"/>
    <x v="3"/>
    <x v="1"/>
    <n v="16"/>
    <n v="173"/>
    <n v="127.36"/>
    <n v="2768"/>
    <n v="730.29"/>
  </r>
  <r>
    <d v="2024-01-04T00:00:00"/>
    <x v="1"/>
    <x v="2"/>
    <x v="4"/>
    <n v="47"/>
    <n v="515"/>
    <n v="375.26"/>
    <n v="24205"/>
    <n v="6567.86"/>
  </r>
  <r>
    <d v="2024-01-13T00:00:00"/>
    <x v="3"/>
    <x v="2"/>
    <x v="4"/>
    <n v="33"/>
    <n v="996"/>
    <n v="507.59"/>
    <n v="32868"/>
    <n v="16117.55"/>
  </r>
  <r>
    <d v="2024-01-19T00:00:00"/>
    <x v="3"/>
    <x v="1"/>
    <x v="4"/>
    <n v="20"/>
    <n v="250"/>
    <n v="165.07"/>
    <n v="5000"/>
    <n v="1698.63"/>
  </r>
  <r>
    <d v="2024-01-14T00:00:00"/>
    <x v="3"/>
    <x v="1"/>
    <x v="1"/>
    <n v="42"/>
    <n v="1174"/>
    <n v="650.96"/>
    <n v="49308"/>
    <n v="21967.7"/>
  </r>
  <r>
    <d v="2024-02-21T00:00:00"/>
    <x v="4"/>
    <x v="2"/>
    <x v="4"/>
    <n v="7"/>
    <n v="969"/>
    <n v="530.74"/>
    <n v="6783"/>
    <n v="3067.84"/>
  </r>
  <r>
    <d v="2024-02-09T00:00:00"/>
    <x v="3"/>
    <x v="0"/>
    <x v="2"/>
    <n v="11"/>
    <n v="1664"/>
    <n v="1140.77"/>
    <n v="18304"/>
    <n v="5755.52"/>
  </r>
  <r>
    <d v="2024-02-15T00:00:00"/>
    <x v="3"/>
    <x v="3"/>
    <x v="0"/>
    <n v="28"/>
    <n v="1567"/>
    <n v="907.55"/>
    <n v="43876"/>
    <n v="18464.73"/>
  </r>
  <r>
    <d v="2024-01-04T00:00:00"/>
    <x v="2"/>
    <x v="1"/>
    <x v="1"/>
    <n v="12"/>
    <n v="1226"/>
    <n v="653.03"/>
    <n v="14712"/>
    <n v="6875.6"/>
  </r>
  <r>
    <d v="2024-01-07T00:00:00"/>
    <x v="0"/>
    <x v="3"/>
    <x v="0"/>
    <n v="37"/>
    <n v="706"/>
    <n v="368.24"/>
    <n v="26122"/>
    <n v="12496.99"/>
  </r>
  <r>
    <d v="2024-01-17T00:00:00"/>
    <x v="1"/>
    <x v="0"/>
    <x v="1"/>
    <n v="39"/>
    <n v="711"/>
    <n v="454.74"/>
    <n v="27729"/>
    <n v="9994.08"/>
  </r>
  <r>
    <d v="2024-01-07T00:00:00"/>
    <x v="3"/>
    <x v="1"/>
    <x v="2"/>
    <n v="30"/>
    <n v="222"/>
    <n v="166.86"/>
    <n v="6660"/>
    <n v="1654.08"/>
  </r>
  <r>
    <d v="2024-02-16T00:00:00"/>
    <x v="1"/>
    <x v="1"/>
    <x v="2"/>
    <n v="48"/>
    <n v="954"/>
    <n v="636.97"/>
    <n v="45792"/>
    <n v="15217.66"/>
  </r>
  <r>
    <d v="2024-01-21T00:00:00"/>
    <x v="4"/>
    <x v="0"/>
    <x v="0"/>
    <n v="38"/>
    <n v="954"/>
    <n v="552.58000000000004"/>
    <n v="36252"/>
    <n v="15253.96"/>
  </r>
  <r>
    <d v="2024-02-25T00:00:00"/>
    <x v="0"/>
    <x v="3"/>
    <x v="1"/>
    <n v="29"/>
    <n v="670"/>
    <n v="475.38"/>
    <n v="19430"/>
    <n v="5643.98"/>
  </r>
  <r>
    <d v="2024-01-14T00:00:00"/>
    <x v="0"/>
    <x v="3"/>
    <x v="1"/>
    <n v="50"/>
    <n v="1308"/>
    <n v="852.76"/>
    <n v="65400"/>
    <n v="22761.77"/>
  </r>
  <r>
    <d v="2024-02-06T00:00:00"/>
    <x v="3"/>
    <x v="3"/>
    <x v="1"/>
    <n v="42"/>
    <n v="1507"/>
    <n v="971.6"/>
    <n v="63294"/>
    <n v="22486.91"/>
  </r>
  <r>
    <d v="2024-02-09T00:00:00"/>
    <x v="4"/>
    <x v="2"/>
    <x v="3"/>
    <n v="37"/>
    <n v="942"/>
    <n v="671.17"/>
    <n v="34854"/>
    <n v="10020.870000000001"/>
  </r>
  <r>
    <d v="2024-01-30T00:00:00"/>
    <x v="1"/>
    <x v="2"/>
    <x v="1"/>
    <n v="1"/>
    <n v="1464"/>
    <n v="852.15"/>
    <n v="1464"/>
    <n v="611.85"/>
  </r>
  <r>
    <d v="2024-01-03T00:00:00"/>
    <x v="1"/>
    <x v="0"/>
    <x v="0"/>
    <n v="36"/>
    <n v="721"/>
    <n v="566.6"/>
    <n v="25956"/>
    <n v="5558.24"/>
  </r>
  <r>
    <d v="2024-02-11T00:00:00"/>
    <x v="2"/>
    <x v="2"/>
    <x v="4"/>
    <n v="22"/>
    <n v="1779"/>
    <n v="892.26"/>
    <n v="39138"/>
    <n v="19508.27"/>
  </r>
  <r>
    <d v="2024-02-13T00:00:00"/>
    <x v="0"/>
    <x v="2"/>
    <x v="0"/>
    <n v="34"/>
    <n v="906"/>
    <n v="602.5"/>
    <n v="30804"/>
    <n v="10319.17"/>
  </r>
  <r>
    <d v="2024-02-15T00:00:00"/>
    <x v="0"/>
    <x v="1"/>
    <x v="1"/>
    <n v="21"/>
    <n v="1375"/>
    <n v="933.69"/>
    <n v="28875"/>
    <n v="9267.57"/>
  </r>
  <r>
    <d v="2024-02-08T00:00:00"/>
    <x v="3"/>
    <x v="0"/>
    <x v="2"/>
    <n v="22"/>
    <n v="410"/>
    <n v="234.87"/>
    <n v="9020"/>
    <n v="3852.87"/>
  </r>
  <r>
    <d v="2024-02-13T00:00:00"/>
    <x v="1"/>
    <x v="3"/>
    <x v="4"/>
    <n v="22"/>
    <n v="605"/>
    <n v="439.56"/>
    <n v="13310"/>
    <n v="3639.78"/>
  </r>
  <r>
    <d v="2024-01-09T00:00:00"/>
    <x v="3"/>
    <x v="2"/>
    <x v="2"/>
    <n v="29"/>
    <n v="299"/>
    <n v="152.68"/>
    <n v="8671"/>
    <n v="4243.24"/>
  </r>
  <r>
    <d v="2024-02-28T00:00:00"/>
    <x v="2"/>
    <x v="2"/>
    <x v="2"/>
    <n v="24"/>
    <n v="108"/>
    <n v="56.47"/>
    <n v="2592"/>
    <n v="1236.7"/>
  </r>
  <r>
    <d v="2024-02-17T00:00:00"/>
    <x v="1"/>
    <x v="2"/>
    <x v="0"/>
    <n v="13"/>
    <n v="946"/>
    <n v="753.17"/>
    <n v="12298"/>
    <n v="2506.84"/>
  </r>
  <r>
    <d v="2024-02-22T00:00:00"/>
    <x v="1"/>
    <x v="1"/>
    <x v="3"/>
    <n v="47"/>
    <n v="245"/>
    <n v="160.91999999999999"/>
    <n v="11515"/>
    <n v="3951.91"/>
  </r>
  <r>
    <d v="2024-01-03T00:00:00"/>
    <x v="3"/>
    <x v="1"/>
    <x v="1"/>
    <n v="27"/>
    <n v="1988"/>
    <n v="1026.0999999999999"/>
    <n v="53676"/>
    <n v="25971.42"/>
  </r>
  <r>
    <d v="2024-03-01T00:00:00"/>
    <x v="2"/>
    <x v="0"/>
    <x v="0"/>
    <n v="29"/>
    <n v="981"/>
    <n v="533.05999999999995"/>
    <n v="28449"/>
    <n v="12990.16"/>
  </r>
  <r>
    <d v="2024-02-28T00:00:00"/>
    <x v="1"/>
    <x v="2"/>
    <x v="1"/>
    <n v="6"/>
    <n v="957"/>
    <n v="656.33"/>
    <n v="5742"/>
    <n v="1804.04"/>
  </r>
  <r>
    <d v="2024-01-04T00:00:00"/>
    <x v="1"/>
    <x v="3"/>
    <x v="4"/>
    <n v="13"/>
    <n v="1872"/>
    <n v="1391.77"/>
    <n v="24336"/>
    <n v="6243"/>
  </r>
  <r>
    <d v="2024-01-29T00:00:00"/>
    <x v="2"/>
    <x v="2"/>
    <x v="4"/>
    <n v="32"/>
    <n v="1221"/>
    <n v="783.19"/>
    <n v="39072"/>
    <n v="14009.9"/>
  </r>
  <r>
    <d v="2024-02-07T00:00:00"/>
    <x v="4"/>
    <x v="2"/>
    <x v="0"/>
    <n v="19"/>
    <n v="792"/>
    <n v="592.08000000000004"/>
    <n v="15048"/>
    <n v="3798.42"/>
  </r>
  <r>
    <d v="2024-02-28T00:00:00"/>
    <x v="4"/>
    <x v="3"/>
    <x v="0"/>
    <n v="2"/>
    <n v="1545"/>
    <n v="1091.3699999999999"/>
    <n v="3090"/>
    <n v="907.26"/>
  </r>
  <r>
    <d v="2024-01-31T00:00:00"/>
    <x v="3"/>
    <x v="3"/>
    <x v="3"/>
    <n v="37"/>
    <n v="1012"/>
    <n v="606.69000000000005"/>
    <n v="37444"/>
    <n v="14996.64"/>
  </r>
  <r>
    <d v="2024-01-31T00:00:00"/>
    <x v="1"/>
    <x v="1"/>
    <x v="1"/>
    <n v="21"/>
    <n v="986"/>
    <n v="610.08000000000004"/>
    <n v="20706"/>
    <n v="7894.28"/>
  </r>
  <r>
    <d v="2024-01-09T00:00:00"/>
    <x v="4"/>
    <x v="0"/>
    <x v="0"/>
    <n v="27"/>
    <n v="1913"/>
    <n v="1377.73"/>
    <n v="51651"/>
    <n v="14452.38"/>
  </r>
  <r>
    <d v="2024-01-09T00:00:00"/>
    <x v="0"/>
    <x v="1"/>
    <x v="0"/>
    <n v="42"/>
    <n v="1375"/>
    <n v="709.51"/>
    <n v="57750"/>
    <n v="27950.61"/>
  </r>
  <r>
    <d v="2024-01-27T00:00:00"/>
    <x v="2"/>
    <x v="3"/>
    <x v="1"/>
    <n v="38"/>
    <n v="1187"/>
    <n v="694.32"/>
    <n v="45106"/>
    <n v="18721.88"/>
  </r>
  <r>
    <d v="2024-02-27T00:00:00"/>
    <x v="3"/>
    <x v="0"/>
    <x v="2"/>
    <n v="15"/>
    <n v="1098"/>
    <n v="579.19000000000005"/>
    <n v="16470"/>
    <n v="7782.2"/>
  </r>
  <r>
    <d v="2024-01-18T00:00:00"/>
    <x v="0"/>
    <x v="1"/>
    <x v="3"/>
    <n v="49"/>
    <n v="293"/>
    <n v="223.97"/>
    <n v="14357"/>
    <n v="3382.4"/>
  </r>
  <r>
    <d v="2024-01-31T00:00:00"/>
    <x v="0"/>
    <x v="2"/>
    <x v="3"/>
    <n v="33"/>
    <n v="1258"/>
    <n v="649.04999999999995"/>
    <n v="41514"/>
    <n v="20095.28"/>
  </r>
  <r>
    <d v="2024-01-14T00:00:00"/>
    <x v="0"/>
    <x v="3"/>
    <x v="4"/>
    <n v="34"/>
    <n v="365"/>
    <n v="207.9"/>
    <n v="12410"/>
    <n v="5341.23"/>
  </r>
  <r>
    <d v="2024-01-12T00:00:00"/>
    <x v="4"/>
    <x v="3"/>
    <x v="3"/>
    <n v="29"/>
    <n v="1090"/>
    <n v="749.87"/>
    <n v="31610"/>
    <n v="9863.7099999999991"/>
  </r>
  <r>
    <d v="2024-02-10T00:00:00"/>
    <x v="2"/>
    <x v="3"/>
    <x v="2"/>
    <n v="46"/>
    <n v="193"/>
    <n v="108.36"/>
    <n v="8878"/>
    <n v="3893.4"/>
  </r>
  <r>
    <d v="2024-02-23T00:00:00"/>
    <x v="0"/>
    <x v="1"/>
    <x v="1"/>
    <n v="43"/>
    <n v="718"/>
    <n v="421.01"/>
    <n v="30874"/>
    <n v="12770.56"/>
  </r>
  <r>
    <d v="2024-02-28T00:00:00"/>
    <x v="2"/>
    <x v="2"/>
    <x v="2"/>
    <n v="3"/>
    <n v="1466"/>
    <n v="940.65"/>
    <n v="4398"/>
    <n v="1576.05"/>
  </r>
  <r>
    <d v="2024-01-04T00:00:00"/>
    <x v="0"/>
    <x v="1"/>
    <x v="0"/>
    <n v="27"/>
    <n v="1611"/>
    <n v="930.1"/>
    <n v="43497"/>
    <n v="18384.189999999999"/>
  </r>
  <r>
    <d v="2024-02-06T00:00:00"/>
    <x v="3"/>
    <x v="3"/>
    <x v="2"/>
    <n v="13"/>
    <n v="217"/>
    <n v="137.08000000000001"/>
    <n v="2821"/>
    <n v="1038.9000000000001"/>
  </r>
  <r>
    <d v="2024-02-17T00:00:00"/>
    <x v="1"/>
    <x v="2"/>
    <x v="1"/>
    <n v="39"/>
    <n v="532"/>
    <n v="367.82"/>
    <n v="20748"/>
    <n v="6403.14"/>
  </r>
  <r>
    <d v="2024-02-02T00:00:00"/>
    <x v="0"/>
    <x v="3"/>
    <x v="0"/>
    <n v="12"/>
    <n v="648"/>
    <n v="425.46"/>
    <n v="7776"/>
    <n v="2670.5"/>
  </r>
  <r>
    <d v="2024-02-17T00:00:00"/>
    <x v="2"/>
    <x v="2"/>
    <x v="2"/>
    <n v="46"/>
    <n v="618"/>
    <n v="369.79"/>
    <n v="28428"/>
    <n v="11417.73"/>
  </r>
  <r>
    <d v="2024-02-04T00:00:00"/>
    <x v="2"/>
    <x v="0"/>
    <x v="2"/>
    <n v="48"/>
    <n v="872"/>
    <n v="653.65"/>
    <n v="41856"/>
    <n v="10481"/>
  </r>
  <r>
    <d v="2024-02-09T00:00:00"/>
    <x v="0"/>
    <x v="2"/>
    <x v="2"/>
    <n v="46"/>
    <n v="1354"/>
    <n v="976.61"/>
    <n v="62284"/>
    <n v="17360.07"/>
  </r>
  <r>
    <d v="2024-01-31T00:00:00"/>
    <x v="3"/>
    <x v="1"/>
    <x v="2"/>
    <n v="36"/>
    <n v="1807"/>
    <n v="1376.8"/>
    <n v="65052"/>
    <n v="15487.16"/>
  </r>
  <r>
    <d v="2024-02-08T00:00:00"/>
    <x v="4"/>
    <x v="0"/>
    <x v="4"/>
    <n v="40"/>
    <n v="1939"/>
    <n v="1492.84"/>
    <n v="77560"/>
    <n v="17846.27"/>
  </r>
  <r>
    <d v="2024-02-13T00:00:00"/>
    <x v="0"/>
    <x v="0"/>
    <x v="4"/>
    <n v="38"/>
    <n v="262"/>
    <n v="134.25"/>
    <n v="9956"/>
    <n v="4854.68"/>
  </r>
  <r>
    <d v="2024-01-01T00:00:00"/>
    <x v="0"/>
    <x v="1"/>
    <x v="2"/>
    <n v="17"/>
    <n v="627"/>
    <n v="470.01"/>
    <n v="10659"/>
    <n v="2668.76"/>
  </r>
  <r>
    <d v="2024-01-08T00:00:00"/>
    <x v="4"/>
    <x v="2"/>
    <x v="3"/>
    <n v="3"/>
    <n v="1870"/>
    <n v="938.44"/>
    <n v="5610"/>
    <n v="2794.67"/>
  </r>
  <r>
    <d v="2024-01-23T00:00:00"/>
    <x v="3"/>
    <x v="3"/>
    <x v="2"/>
    <n v="41"/>
    <n v="1917"/>
    <n v="1456.69"/>
    <n v="78597"/>
    <n v="18872.560000000001"/>
  </r>
  <r>
    <d v="2024-02-05T00:00:00"/>
    <x v="1"/>
    <x v="2"/>
    <x v="1"/>
    <n v="43"/>
    <n v="340"/>
    <n v="186.04"/>
    <n v="14620"/>
    <n v="6620.41"/>
  </r>
  <r>
    <d v="2024-01-11T00:00:00"/>
    <x v="0"/>
    <x v="2"/>
    <x v="1"/>
    <n v="42"/>
    <n v="711"/>
    <n v="551.27"/>
    <n v="29862"/>
    <n v="6708.48"/>
  </r>
  <r>
    <d v="2024-01-23T00:00:00"/>
    <x v="0"/>
    <x v="1"/>
    <x v="1"/>
    <n v="42"/>
    <n v="1765"/>
    <n v="1048.67"/>
    <n v="74130"/>
    <n v="30085.83"/>
  </r>
  <r>
    <d v="2024-01-14T00:00:00"/>
    <x v="1"/>
    <x v="0"/>
    <x v="4"/>
    <n v="40"/>
    <n v="1563"/>
    <n v="961.39"/>
    <n v="62520"/>
    <n v="24064.46"/>
  </r>
  <r>
    <d v="2024-02-11T00:00:00"/>
    <x v="3"/>
    <x v="0"/>
    <x v="0"/>
    <n v="9"/>
    <n v="1273"/>
    <n v="881.36"/>
    <n v="11457"/>
    <n v="3524.78"/>
  </r>
  <r>
    <d v="2024-02-29T00:00:00"/>
    <x v="1"/>
    <x v="1"/>
    <x v="1"/>
    <n v="25"/>
    <n v="1297"/>
    <n v="690.25"/>
    <n v="32425"/>
    <n v="15168.78"/>
  </r>
  <r>
    <d v="2024-03-01T00:00:00"/>
    <x v="2"/>
    <x v="2"/>
    <x v="4"/>
    <n v="13"/>
    <n v="1748"/>
    <n v="909.4"/>
    <n v="22724"/>
    <n v="10901.86"/>
  </r>
  <r>
    <d v="2024-01-21T00:00:00"/>
    <x v="0"/>
    <x v="3"/>
    <x v="4"/>
    <n v="15"/>
    <n v="1646"/>
    <n v="1043.29"/>
    <n v="24690"/>
    <n v="9040.7199999999993"/>
  </r>
  <r>
    <d v="2024-01-19T00:00:00"/>
    <x v="2"/>
    <x v="0"/>
    <x v="2"/>
    <n v="27"/>
    <n v="1219"/>
    <n v="858.41"/>
    <n v="32913"/>
    <n v="9735.81"/>
  </r>
  <r>
    <d v="2024-01-05T00:00:00"/>
    <x v="1"/>
    <x v="2"/>
    <x v="4"/>
    <n v="39"/>
    <n v="1401"/>
    <n v="1064.28"/>
    <n v="54639"/>
    <n v="13131.97"/>
  </r>
  <r>
    <d v="2024-03-01T00:00:00"/>
    <x v="1"/>
    <x v="3"/>
    <x v="4"/>
    <n v="30"/>
    <n v="516"/>
    <n v="280.88"/>
    <n v="15480"/>
    <n v="7053.73"/>
  </r>
  <r>
    <d v="2024-01-18T00:00:00"/>
    <x v="0"/>
    <x v="0"/>
    <x v="3"/>
    <n v="39"/>
    <n v="1987"/>
    <n v="1251.8800000000001"/>
    <n v="77493"/>
    <n v="28669.77"/>
  </r>
  <r>
    <d v="2024-02-19T00:00:00"/>
    <x v="1"/>
    <x v="3"/>
    <x v="0"/>
    <n v="11"/>
    <n v="1530"/>
    <n v="972.41"/>
    <n v="16830"/>
    <n v="6133.51"/>
  </r>
  <r>
    <d v="2024-01-12T00:00:00"/>
    <x v="1"/>
    <x v="0"/>
    <x v="4"/>
    <n v="21"/>
    <n v="1530"/>
    <n v="1195.18"/>
    <n v="32130"/>
    <n v="7031.12"/>
  </r>
  <r>
    <d v="2024-02-19T00:00:00"/>
    <x v="2"/>
    <x v="1"/>
    <x v="0"/>
    <n v="33"/>
    <n v="876"/>
    <n v="528.19000000000005"/>
    <n v="28908"/>
    <n v="11477.72"/>
  </r>
  <r>
    <d v="2024-02-23T00:00:00"/>
    <x v="0"/>
    <x v="0"/>
    <x v="1"/>
    <n v="30"/>
    <n v="809"/>
    <n v="535.6"/>
    <n v="24270"/>
    <n v="8201.86"/>
  </r>
  <r>
    <d v="2024-01-26T00:00:00"/>
    <x v="1"/>
    <x v="1"/>
    <x v="1"/>
    <n v="11"/>
    <n v="588"/>
    <n v="426.75"/>
    <n v="6468"/>
    <n v="1773.73"/>
  </r>
  <r>
    <d v="2024-02-06T00:00:00"/>
    <x v="1"/>
    <x v="1"/>
    <x v="0"/>
    <n v="1"/>
    <n v="266"/>
    <n v="143.59"/>
    <n v="266"/>
    <n v="122.41"/>
  </r>
  <r>
    <d v="2024-02-21T00:00:00"/>
    <x v="1"/>
    <x v="3"/>
    <x v="0"/>
    <n v="26"/>
    <n v="761"/>
    <n v="570.61"/>
    <n v="19786"/>
    <n v="4950.17"/>
  </r>
  <r>
    <d v="2024-03-01T00:00:00"/>
    <x v="4"/>
    <x v="2"/>
    <x v="0"/>
    <n v="2"/>
    <n v="424"/>
    <n v="313.45"/>
    <n v="848"/>
    <n v="221.1"/>
  </r>
  <r>
    <d v="2024-01-04T00:00:00"/>
    <x v="2"/>
    <x v="3"/>
    <x v="1"/>
    <n v="5"/>
    <n v="1832"/>
    <n v="1170.8399999999999"/>
    <n v="9160"/>
    <n v="3305.81"/>
  </r>
  <r>
    <d v="2024-02-28T00:00:00"/>
    <x v="4"/>
    <x v="1"/>
    <x v="3"/>
    <n v="15"/>
    <n v="1526"/>
    <n v="938.49"/>
    <n v="22890"/>
    <n v="8812.68"/>
  </r>
  <r>
    <d v="2024-02-23T00:00:00"/>
    <x v="2"/>
    <x v="0"/>
    <x v="4"/>
    <n v="26"/>
    <n v="1463"/>
    <n v="1104.95"/>
    <n v="38038"/>
    <n v="9309.33"/>
  </r>
  <r>
    <d v="2024-02-02T00:00:00"/>
    <x v="1"/>
    <x v="1"/>
    <x v="3"/>
    <n v="7"/>
    <n v="1537"/>
    <n v="1192.6600000000001"/>
    <n v="10759"/>
    <n v="2410.39"/>
  </r>
  <r>
    <d v="2024-01-13T00:00:00"/>
    <x v="0"/>
    <x v="1"/>
    <x v="2"/>
    <n v="29"/>
    <n v="216"/>
    <n v="170.59"/>
    <n v="6264"/>
    <n v="1316.94"/>
  </r>
  <r>
    <d v="2024-01-24T00:00:00"/>
    <x v="0"/>
    <x v="2"/>
    <x v="0"/>
    <n v="4"/>
    <n v="1126"/>
    <n v="610.17999999999995"/>
    <n v="4504"/>
    <n v="2063.27"/>
  </r>
  <r>
    <d v="2024-01-01T00:00:00"/>
    <x v="3"/>
    <x v="3"/>
    <x v="2"/>
    <n v="6"/>
    <n v="491"/>
    <n v="335.94"/>
    <n v="2946"/>
    <n v="930.36"/>
  </r>
  <r>
    <d v="2024-02-18T00:00:00"/>
    <x v="4"/>
    <x v="2"/>
    <x v="2"/>
    <n v="45"/>
    <n v="856"/>
    <n v="605.65"/>
    <n v="38520"/>
    <n v="11265.8"/>
  </r>
  <r>
    <d v="2024-02-14T00:00:00"/>
    <x v="3"/>
    <x v="0"/>
    <x v="1"/>
    <n v="48"/>
    <n v="665"/>
    <n v="528.46"/>
    <n v="31920"/>
    <n v="6553.86"/>
  </r>
  <r>
    <d v="2024-01-28T00:00:00"/>
    <x v="1"/>
    <x v="2"/>
    <x v="2"/>
    <n v="30"/>
    <n v="1509"/>
    <n v="1033.82"/>
    <n v="45270"/>
    <n v="14255.42"/>
  </r>
  <r>
    <d v="2024-01-10T00:00:00"/>
    <x v="1"/>
    <x v="0"/>
    <x v="1"/>
    <n v="17"/>
    <n v="621"/>
    <n v="345.18"/>
    <n v="10557"/>
    <n v="4689.01"/>
  </r>
  <r>
    <d v="2024-01-31T00:00:00"/>
    <x v="3"/>
    <x v="3"/>
    <x v="2"/>
    <n v="22"/>
    <n v="413"/>
    <n v="280.11"/>
    <n v="9086"/>
    <n v="2923.54"/>
  </r>
  <r>
    <d v="2024-01-09T00:00:00"/>
    <x v="1"/>
    <x v="0"/>
    <x v="3"/>
    <n v="26"/>
    <n v="1076"/>
    <n v="720.96"/>
    <n v="27976"/>
    <n v="9231.16"/>
  </r>
  <r>
    <d v="2024-01-10T00:00:00"/>
    <x v="4"/>
    <x v="3"/>
    <x v="4"/>
    <n v="28"/>
    <n v="1302"/>
    <n v="827.76"/>
    <n v="36456"/>
    <n v="13278.71"/>
  </r>
  <r>
    <d v="2024-02-27T00:00:00"/>
    <x v="2"/>
    <x v="1"/>
    <x v="1"/>
    <n v="18"/>
    <n v="110"/>
    <n v="84.86"/>
    <n v="1980"/>
    <n v="452.43"/>
  </r>
  <r>
    <d v="2024-01-27T00:00:00"/>
    <x v="2"/>
    <x v="0"/>
    <x v="2"/>
    <n v="15"/>
    <n v="212"/>
    <n v="126.8"/>
    <n v="3180"/>
    <n v="1277.98"/>
  </r>
  <r>
    <d v="2024-01-08T00:00:00"/>
    <x v="2"/>
    <x v="0"/>
    <x v="0"/>
    <n v="22"/>
    <n v="1176"/>
    <n v="939.18"/>
    <n v="25872"/>
    <n v="5210.09"/>
  </r>
  <r>
    <d v="2024-02-08T00:00:00"/>
    <x v="3"/>
    <x v="1"/>
    <x v="3"/>
    <n v="17"/>
    <n v="350"/>
    <n v="182.03"/>
    <n v="5950"/>
    <n v="2855.52"/>
  </r>
  <r>
    <d v="2024-01-21T00:00:00"/>
    <x v="1"/>
    <x v="2"/>
    <x v="3"/>
    <n v="41"/>
    <n v="161"/>
    <n v="120.85"/>
    <n v="6601"/>
    <n v="1646.3"/>
  </r>
  <r>
    <d v="2024-02-27T00:00:00"/>
    <x v="2"/>
    <x v="1"/>
    <x v="0"/>
    <n v="39"/>
    <n v="799"/>
    <n v="458.04"/>
    <n v="31161"/>
    <n v="13297.43"/>
  </r>
  <r>
    <d v="2024-02-03T00:00:00"/>
    <x v="1"/>
    <x v="0"/>
    <x v="4"/>
    <n v="22"/>
    <n v="1441"/>
    <n v="734.76"/>
    <n v="31702"/>
    <n v="15537.37"/>
  </r>
  <r>
    <d v="2024-01-11T00:00:00"/>
    <x v="1"/>
    <x v="1"/>
    <x v="1"/>
    <n v="12"/>
    <n v="314"/>
    <n v="197.83"/>
    <n v="3768"/>
    <n v="1394.04"/>
  </r>
  <r>
    <d v="2024-02-24T00:00:00"/>
    <x v="0"/>
    <x v="1"/>
    <x v="3"/>
    <n v="9"/>
    <n v="500"/>
    <n v="296"/>
    <n v="4500"/>
    <n v="1836.02"/>
  </r>
  <r>
    <d v="2024-01-31T00:00:00"/>
    <x v="2"/>
    <x v="0"/>
    <x v="2"/>
    <n v="41"/>
    <n v="598"/>
    <n v="387.66"/>
    <n v="24518"/>
    <n v="8623.7900000000009"/>
  </r>
  <r>
    <d v="2024-02-09T00:00:00"/>
    <x v="3"/>
    <x v="2"/>
    <x v="3"/>
    <n v="25"/>
    <n v="1632"/>
    <n v="906.57"/>
    <n v="40800"/>
    <n v="18135.740000000002"/>
  </r>
  <r>
    <d v="2024-02-13T00:00:00"/>
    <x v="3"/>
    <x v="2"/>
    <x v="2"/>
    <n v="4"/>
    <n v="1540"/>
    <n v="994.34"/>
    <n v="6160"/>
    <n v="2182.63"/>
  </r>
  <r>
    <d v="2024-02-01T00:00:00"/>
    <x v="0"/>
    <x v="3"/>
    <x v="1"/>
    <n v="8"/>
    <n v="522"/>
    <n v="398.85"/>
    <n v="4176"/>
    <n v="985.18"/>
  </r>
  <r>
    <d v="2024-02-07T00:00:00"/>
    <x v="1"/>
    <x v="1"/>
    <x v="1"/>
    <n v="23"/>
    <n v="732"/>
    <n v="555.74"/>
    <n v="16836"/>
    <n v="4053.95"/>
  </r>
  <r>
    <d v="2024-02-02T00:00:00"/>
    <x v="2"/>
    <x v="0"/>
    <x v="2"/>
    <n v="22"/>
    <n v="1178"/>
    <n v="678.62"/>
    <n v="25916"/>
    <n v="10986.41"/>
  </r>
  <r>
    <d v="2024-02-19T00:00:00"/>
    <x v="1"/>
    <x v="0"/>
    <x v="2"/>
    <n v="22"/>
    <n v="1816"/>
    <n v="1412.25"/>
    <n v="39952"/>
    <n v="8882.39"/>
  </r>
  <r>
    <d v="2024-01-15T00:00:00"/>
    <x v="3"/>
    <x v="2"/>
    <x v="4"/>
    <n v="7"/>
    <n v="1535"/>
    <n v="845.88"/>
    <n v="10745"/>
    <n v="4823.8599999999997"/>
  </r>
  <r>
    <d v="2024-02-07T00:00:00"/>
    <x v="4"/>
    <x v="1"/>
    <x v="2"/>
    <n v="31"/>
    <n v="1854"/>
    <n v="1263.02"/>
    <n v="57474"/>
    <n v="18320.53"/>
  </r>
  <r>
    <d v="2024-01-25T00:00:00"/>
    <x v="0"/>
    <x v="3"/>
    <x v="3"/>
    <n v="33"/>
    <n v="1387"/>
    <n v="714.34"/>
    <n v="45771"/>
    <n v="22197.88"/>
  </r>
  <r>
    <d v="2024-02-11T00:00:00"/>
    <x v="1"/>
    <x v="3"/>
    <x v="2"/>
    <n v="18"/>
    <n v="532"/>
    <n v="309.60000000000002"/>
    <n v="9576"/>
    <n v="4003.29"/>
  </r>
  <r>
    <d v="2024-02-28T00:00:00"/>
    <x v="0"/>
    <x v="3"/>
    <x v="0"/>
    <n v="47"/>
    <n v="607"/>
    <n v="334.18"/>
    <n v="28529"/>
    <n v="12822.52"/>
  </r>
  <r>
    <d v="2024-02-21T00:00:00"/>
    <x v="2"/>
    <x v="0"/>
    <x v="3"/>
    <n v="28"/>
    <n v="1512"/>
    <n v="1140.27"/>
    <n v="42336"/>
    <n v="10408.299999999999"/>
  </r>
  <r>
    <d v="2024-01-23T00:00:00"/>
    <x v="0"/>
    <x v="1"/>
    <x v="1"/>
    <n v="22"/>
    <n v="815"/>
    <n v="557.78"/>
    <n v="17930"/>
    <n v="5658.92"/>
  </r>
  <r>
    <d v="2024-02-20T00:00:00"/>
    <x v="3"/>
    <x v="0"/>
    <x v="4"/>
    <n v="3"/>
    <n v="1739"/>
    <n v="1011.73"/>
    <n v="5217"/>
    <n v="2181.8000000000002"/>
  </r>
  <r>
    <d v="2024-01-18T00:00:00"/>
    <x v="4"/>
    <x v="3"/>
    <x v="1"/>
    <n v="25"/>
    <n v="326"/>
    <n v="176.87"/>
    <n v="8150"/>
    <n v="3728.32"/>
  </r>
  <r>
    <d v="2024-01-12T00:00:00"/>
    <x v="2"/>
    <x v="0"/>
    <x v="2"/>
    <n v="29"/>
    <n v="1731"/>
    <n v="1217.44"/>
    <n v="50199"/>
    <n v="14893.38"/>
  </r>
  <r>
    <d v="2024-01-14T00:00:00"/>
    <x v="1"/>
    <x v="2"/>
    <x v="2"/>
    <n v="7"/>
    <n v="206"/>
    <n v="161.21"/>
    <n v="1442"/>
    <n v="313.52999999999997"/>
  </r>
  <r>
    <d v="2024-01-17T00:00:00"/>
    <x v="1"/>
    <x v="0"/>
    <x v="3"/>
    <n v="20"/>
    <n v="291"/>
    <n v="178.93"/>
    <n v="5820"/>
    <n v="2241.34"/>
  </r>
  <r>
    <d v="2024-02-13T00:00:00"/>
    <x v="1"/>
    <x v="3"/>
    <x v="0"/>
    <n v="47"/>
    <n v="855"/>
    <n v="615.80999999999995"/>
    <n v="40185"/>
    <n v="11242.06"/>
  </r>
  <r>
    <d v="2024-02-01T00:00:00"/>
    <x v="1"/>
    <x v="0"/>
    <x v="1"/>
    <n v="8"/>
    <n v="1075"/>
    <n v="808.74"/>
    <n v="8600"/>
    <n v="2130.08"/>
  </r>
  <r>
    <d v="2024-01-15T00:00:00"/>
    <x v="4"/>
    <x v="0"/>
    <x v="0"/>
    <n v="13"/>
    <n v="665"/>
    <n v="403.39"/>
    <n v="8645"/>
    <n v="3400.95"/>
  </r>
  <r>
    <d v="2024-01-02T00:00:00"/>
    <x v="0"/>
    <x v="2"/>
    <x v="1"/>
    <n v="26"/>
    <n v="1891"/>
    <n v="1265.81"/>
    <n v="49166"/>
    <n v="16255"/>
  </r>
  <r>
    <d v="2024-01-04T00:00:00"/>
    <x v="0"/>
    <x v="3"/>
    <x v="4"/>
    <n v="46"/>
    <n v="1386"/>
    <n v="810.58"/>
    <n v="63756"/>
    <n v="26469.3"/>
  </r>
  <r>
    <d v="2024-01-09T00:00:00"/>
    <x v="1"/>
    <x v="3"/>
    <x v="4"/>
    <n v="3"/>
    <n v="1351"/>
    <n v="1058.8599999999999"/>
    <n v="4053"/>
    <n v="876.41"/>
  </r>
  <r>
    <d v="2024-01-26T00:00:00"/>
    <x v="1"/>
    <x v="1"/>
    <x v="1"/>
    <n v="31"/>
    <n v="1435"/>
    <n v="954.92"/>
    <n v="44485"/>
    <n v="14882.36"/>
  </r>
  <r>
    <d v="2024-02-26T00:00:00"/>
    <x v="1"/>
    <x v="1"/>
    <x v="3"/>
    <n v="17"/>
    <n v="214"/>
    <n v="146"/>
    <n v="3638"/>
    <n v="1156.02"/>
  </r>
  <r>
    <d v="2024-02-10T00:00:00"/>
    <x v="4"/>
    <x v="3"/>
    <x v="0"/>
    <n v="45"/>
    <n v="905"/>
    <n v="714.21"/>
    <n v="40725"/>
    <n v="8585.5"/>
  </r>
  <r>
    <d v="2024-01-22T00:00:00"/>
    <x v="0"/>
    <x v="2"/>
    <x v="0"/>
    <n v="35"/>
    <n v="1662"/>
    <n v="923.31"/>
    <n v="58170"/>
    <n v="25854.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B807A8-CF19-4CDE-889E-250073E7109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9">
    <pivotField numFmtId="14" showAll="0"/>
    <pivotField showAll="0">
      <items count="6">
        <item x="1"/>
        <item x="2"/>
        <item x="0"/>
        <item x="4"/>
        <item x="3"/>
        <item t="default"/>
      </items>
    </pivotField>
    <pivotField axis="axisRow" showAll="0">
      <items count="5">
        <item x="0"/>
        <item x="1"/>
        <item x="3"/>
        <item x="2"/>
        <item t="default"/>
      </items>
    </pivotField>
    <pivotField showAll="0">
      <items count="6">
        <item x="1"/>
        <item x="4"/>
        <item x="2"/>
        <item x="0"/>
        <item x="3"/>
        <item t="default"/>
      </items>
    </pivotField>
    <pivotField showAll="0"/>
    <pivotField showAll="0"/>
    <pivotField showAll="0"/>
    <pivotField dataField="1" showAll="0"/>
    <pivotField showAll="0"/>
  </pivotFields>
  <rowFields count="1">
    <field x="2"/>
  </rowFields>
  <rowItems count="5">
    <i>
      <x/>
    </i>
    <i>
      <x v="1"/>
    </i>
    <i>
      <x v="2"/>
    </i>
    <i>
      <x v="3"/>
    </i>
    <i t="grand">
      <x/>
    </i>
  </rowItems>
  <colItems count="1">
    <i/>
  </colItems>
  <dataFields count="1">
    <dataField name="Sum of Total Sales" fld="7" baseField="2" baseItem="1" numFmtId="164"/>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 chart="5"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FF5061-80A2-4449-BE93-941F32B2D69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4:L10" firstHeaderRow="1" firstDataRow="1" firstDataCol="1"/>
  <pivotFields count="9">
    <pivotField numFmtId="14" showAll="0"/>
    <pivotField showAll="0">
      <items count="6">
        <item x="1"/>
        <item x="2"/>
        <item x="0"/>
        <item x="4"/>
        <item x="3"/>
        <item t="default"/>
      </items>
    </pivotField>
    <pivotField showAll="0">
      <items count="5">
        <item x="0"/>
        <item x="1"/>
        <item x="3"/>
        <item x="2"/>
        <item t="default"/>
      </items>
    </pivotField>
    <pivotField axis="axisRow" showAll="0">
      <items count="6">
        <item x="1"/>
        <item x="4"/>
        <item x="2"/>
        <item x="0"/>
        <item x="3"/>
        <item t="default"/>
      </items>
    </pivotField>
    <pivotField dataField="1"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Unit Sold" fld="4" baseField="0" baseItem="0"/>
  </dataFields>
  <chartFormats count="7">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3" count="1" selected="0">
            <x v="0"/>
          </reference>
        </references>
      </pivotArea>
    </chartFormat>
    <chartFormat chart="6" format="4">
      <pivotArea type="data" outline="0" fieldPosition="0">
        <references count="2">
          <reference field="4294967294" count="1" selected="0">
            <x v="0"/>
          </reference>
          <reference field="3" count="1" selected="0">
            <x v="1"/>
          </reference>
        </references>
      </pivotArea>
    </chartFormat>
    <chartFormat chart="6" format="5">
      <pivotArea type="data" outline="0" fieldPosition="0">
        <references count="2">
          <reference field="4294967294" count="1" selected="0">
            <x v="0"/>
          </reference>
          <reference field="3" count="1" selected="0">
            <x v="2"/>
          </reference>
        </references>
      </pivotArea>
    </chartFormat>
    <chartFormat chart="6" format="6">
      <pivotArea type="data" outline="0" fieldPosition="0">
        <references count="2">
          <reference field="4294967294" count="1" selected="0">
            <x v="0"/>
          </reference>
          <reference field="3" count="1" selected="0">
            <x v="3"/>
          </reference>
        </references>
      </pivotArea>
    </chartFormat>
    <chartFormat chart="6" format="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00A85F-5DBC-4BA4-8178-18EF6A58967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9" firstHeaderRow="1" firstDataRow="1" firstDataCol="1"/>
  <pivotFields count="9">
    <pivotField numFmtId="14" showAll="0"/>
    <pivotField axis="axisRow" showAll="0">
      <items count="6">
        <item x="1"/>
        <item x="2"/>
        <item x="0"/>
        <item x="4"/>
        <item x="3"/>
        <item t="default"/>
      </items>
    </pivotField>
    <pivotField showAll="0">
      <items count="5">
        <item x="0"/>
        <item x="1"/>
        <item x="3"/>
        <item x="2"/>
        <item t="default"/>
      </items>
    </pivotField>
    <pivotField showAll="0">
      <items count="6">
        <item x="1"/>
        <item x="4"/>
        <item x="2"/>
        <item x="0"/>
        <item x="3"/>
        <item t="default"/>
      </items>
    </pivotField>
    <pivotField showAll="0"/>
    <pivotField showAll="0"/>
    <pivotField showAll="0"/>
    <pivotField dataField="1" showAll="0"/>
    <pivotField showAll="0"/>
  </pivotFields>
  <rowFields count="1">
    <field x="1"/>
  </rowFields>
  <rowItems count="6">
    <i>
      <x/>
    </i>
    <i>
      <x v="1"/>
    </i>
    <i>
      <x v="2"/>
    </i>
    <i>
      <x v="3"/>
    </i>
    <i>
      <x v="4"/>
    </i>
    <i t="grand">
      <x/>
    </i>
  </rowItems>
  <colItems count="1">
    <i/>
  </colItems>
  <dataFields count="1">
    <dataField name="Sum of Total Sales" fld="7" baseField="1" baseItem="0" numFmtId="164"/>
  </dataFields>
  <chartFormats count="4">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E6C844-7137-4B4B-9F5F-34D75278FB8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E9" firstHeaderRow="1" firstDataRow="1" firstDataCol="1"/>
  <pivotFields count="9">
    <pivotField numFmtId="14" showAll="0"/>
    <pivotField showAll="0">
      <items count="6">
        <item x="1"/>
        <item x="2"/>
        <item x="0"/>
        <item x="4"/>
        <item x="3"/>
        <item t="default"/>
      </items>
    </pivotField>
    <pivotField showAll="0">
      <items count="5">
        <item x="0"/>
        <item x="1"/>
        <item x="3"/>
        <item x="2"/>
        <item t="default"/>
      </items>
    </pivotField>
    <pivotField axis="axisRow" showAll="0">
      <items count="6">
        <item x="1"/>
        <item x="4"/>
        <item x="2"/>
        <item x="0"/>
        <item x="3"/>
        <item t="default"/>
      </items>
    </pivotField>
    <pivotField showAll="0"/>
    <pivotField showAll="0"/>
    <pivotField showAll="0"/>
    <pivotField dataField="1" showAll="0"/>
    <pivotField showAll="0"/>
  </pivotFields>
  <rowFields count="1">
    <field x="3"/>
  </rowFields>
  <rowItems count="6">
    <i>
      <x/>
    </i>
    <i>
      <x v="1"/>
    </i>
    <i>
      <x v="2"/>
    </i>
    <i>
      <x v="3"/>
    </i>
    <i>
      <x v="4"/>
    </i>
    <i t="grand">
      <x/>
    </i>
  </rowItems>
  <colItems count="1">
    <i/>
  </colItems>
  <dataFields count="1">
    <dataField name="Sum of Total Sales" fld="7" baseField="3" baseItem="1" numFmtId="164"/>
  </dataFields>
  <chartFormats count="2">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4B9D0E64-258D-4444-9B10-FD046A574EA5}" sourceName="Sales Person">
  <pivotTables>
    <pivotTable tabId="3" name="PivotTable3"/>
    <pivotTable tabId="3" name="PivotTable4"/>
    <pivotTable tabId="3" name="PivotTable5"/>
    <pivotTable tabId="3" name="PivotTable6"/>
  </pivotTables>
  <data>
    <tabular pivotCacheId="430867502">
      <items count="5">
        <i x="1" s="1"/>
        <i x="2"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126744D-6565-4989-8384-E6B57002020C}" sourceName="Region">
  <pivotTables>
    <pivotTable tabId="3" name="PivotTable3"/>
    <pivotTable tabId="3" name="PivotTable4"/>
    <pivotTable tabId="3" name="PivotTable5"/>
    <pivotTable tabId="3" name="PivotTable6"/>
  </pivotTables>
  <data>
    <tabular pivotCacheId="430867502">
      <items count="4">
        <i x="0" s="1"/>
        <i x="1" s="1"/>
        <i x="3" s="1"/>
        <i x="2"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4E78FCB-6AFA-4222-AED8-AB360C3AC239}" sourceName="Product">
  <pivotTables>
    <pivotTable tabId="3" name="PivotTable3"/>
    <pivotTable tabId="3" name="PivotTable4"/>
    <pivotTable tabId="3" name="PivotTable5"/>
    <pivotTable tabId="3" name="PivotTable6"/>
  </pivotTables>
  <data>
    <tabular pivotCacheId="430867502">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FDEF6834-B609-4FF9-82F0-7861443CC1B5}" cache="Slicer_Sales_Person" caption="Sales Person" style="SlicerStyleDark1" rowHeight="234950"/>
  <slicer name="Region 1" xr10:uid="{84CBA3C9-A26F-41FD-9204-97EFA5120C5F}" cache="Slicer_Region" caption="Region" columnCount="2" showCaption="0" style="SlicerStyleDark1" rowHeight="396000"/>
  <slicer name="Product 1" xr10:uid="{9828DA91-8131-4994-89EC-22465D044610}" cache="Slicer_Product" caption="Product"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F5B56459-A4FB-4325-AC38-4633D9B492E2}" cache="Slicer_Sales_Person" caption="Sales Person" rowHeight="234950"/>
  <slicer name="Region" xr10:uid="{18135C11-FE38-433D-8639-F54DEA0D79B7}" cache="Slicer_Region" caption="Region" columnCount="2" showCaption="0" rowHeight="324000"/>
  <slicer name="Product" xr10:uid="{35368748-144A-4D6A-B13B-E8A490D909E3}"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FBE404-0EBF-498D-BFB7-02FCDDC891E5}" name="Table1" displayName="Table1" ref="A1:I201" totalsRowShown="0">
  <autoFilter ref="A1:I201" xr:uid="{1EFBE404-0EBF-498D-BFB7-02FCDDC891E5}"/>
  <tableColumns count="9">
    <tableColumn id="1" xr3:uid="{BCB23F45-E6FD-4902-B4C1-7445C593DCDB}" name="Date" dataDxfId="0"/>
    <tableColumn id="2" xr3:uid="{A3D0DBED-DC0B-44B1-B145-6BAF3DBBD325}" name="Sales Person"/>
    <tableColumn id="3" xr3:uid="{E3C78345-1424-4A98-A489-F7D060AF7B86}" name="Region"/>
    <tableColumn id="4" xr3:uid="{B58B8041-8F03-4110-938A-6A1F36DF7D79}" name="Product"/>
    <tableColumn id="5" xr3:uid="{1D9B709C-B7EC-4919-BD5F-2C97A7A39B1C}" name="Unit Sold"/>
    <tableColumn id="6" xr3:uid="{DA4E852C-379E-4E37-99EF-545BFE0EE1B1}" name="Unit Price"/>
    <tableColumn id="7" xr3:uid="{3B7D4F9C-C100-43FE-8CD3-E2601637CF51}" name="Cost of Goods"/>
    <tableColumn id="8" xr3:uid="{32CD0EFC-8FF9-4838-B83B-10849C64867F}" name="Total Sales"/>
    <tableColumn id="9" xr3:uid="{0F6D095D-84E9-443D-B994-C1A5BEFD9C9C}"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19D58-AE82-4467-A2E4-2083E0CFE700}">
  <dimension ref="D10:K18"/>
  <sheetViews>
    <sheetView showGridLines="0" showRowColHeaders="0" tabSelected="1" zoomScale="91" zoomScaleNormal="100" workbookViewId="0">
      <selection activeCell="I53" sqref="I53"/>
    </sheetView>
  </sheetViews>
  <sheetFormatPr defaultRowHeight="14.4" x14ac:dyDescent="0.3"/>
  <sheetData>
    <row r="10" spans="4:11" x14ac:dyDescent="0.3">
      <c r="D10" t="s">
        <v>31</v>
      </c>
    </row>
    <row r="14" spans="4:11" ht="15.6" x14ac:dyDescent="0.3">
      <c r="K14" s="6"/>
    </row>
    <row r="18" spans="8:8" x14ac:dyDescent="0.3">
      <c r="H18"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FA750-789A-4DAF-B5AF-8A558556D540}">
  <dimension ref="A3:L10"/>
  <sheetViews>
    <sheetView zoomScale="69" workbookViewId="0">
      <selection activeCell="J29" sqref="J29"/>
    </sheetView>
  </sheetViews>
  <sheetFormatPr defaultRowHeight="14.4" x14ac:dyDescent="0.3"/>
  <cols>
    <col min="1" max="1" width="14.109375" bestFit="1" customWidth="1"/>
    <col min="2" max="2" width="17" bestFit="1" customWidth="1"/>
    <col min="4" max="4" width="14.109375" bestFit="1" customWidth="1"/>
    <col min="5" max="5" width="17" bestFit="1" customWidth="1"/>
    <col min="7" max="7" width="14.109375" bestFit="1" customWidth="1"/>
    <col min="8" max="8" width="17" bestFit="1" customWidth="1"/>
    <col min="11" max="11" width="14.109375" bestFit="1" customWidth="1"/>
    <col min="12" max="12" width="15.77734375" bestFit="1" customWidth="1"/>
  </cols>
  <sheetData>
    <row r="3" spans="1:12" x14ac:dyDescent="0.3">
      <c r="A3" s="3" t="s">
        <v>27</v>
      </c>
      <c r="B3" t="s">
        <v>29</v>
      </c>
      <c r="D3" s="3" t="s">
        <v>27</v>
      </c>
      <c r="E3" t="s">
        <v>29</v>
      </c>
      <c r="G3" s="3" t="s">
        <v>27</v>
      </c>
      <c r="H3" t="s">
        <v>29</v>
      </c>
    </row>
    <row r="4" spans="1:12" x14ac:dyDescent="0.3">
      <c r="A4" s="4" t="s">
        <v>10</v>
      </c>
      <c r="B4" s="5">
        <v>1487835</v>
      </c>
      <c r="D4" s="4" t="s">
        <v>14</v>
      </c>
      <c r="E4" s="5">
        <v>1244102</v>
      </c>
      <c r="G4" s="4" t="s">
        <v>12</v>
      </c>
      <c r="H4" s="5">
        <v>1232618</v>
      </c>
      <c r="K4" s="3" t="s">
        <v>27</v>
      </c>
      <c r="L4" t="s">
        <v>30</v>
      </c>
    </row>
    <row r="5" spans="1:12" x14ac:dyDescent="0.3">
      <c r="A5" s="4" t="s">
        <v>13</v>
      </c>
      <c r="B5" s="5">
        <v>1369664</v>
      </c>
      <c r="D5" s="4" t="s">
        <v>22</v>
      </c>
      <c r="E5" s="5">
        <v>981430</v>
      </c>
      <c r="G5" s="4" t="s">
        <v>15</v>
      </c>
      <c r="H5" s="5">
        <v>763021</v>
      </c>
      <c r="K5" s="4" t="s">
        <v>14</v>
      </c>
      <c r="L5">
        <v>1138</v>
      </c>
    </row>
    <row r="6" spans="1:12" x14ac:dyDescent="0.3">
      <c r="A6" s="4" t="s">
        <v>21</v>
      </c>
      <c r="B6" s="5">
        <v>1176870</v>
      </c>
      <c r="D6" s="4" t="s">
        <v>16</v>
      </c>
      <c r="E6" s="5">
        <v>1165628</v>
      </c>
      <c r="G6" s="4" t="s">
        <v>9</v>
      </c>
      <c r="H6" s="5">
        <v>1203099</v>
      </c>
      <c r="K6" s="4" t="s">
        <v>22</v>
      </c>
      <c r="L6">
        <v>930</v>
      </c>
    </row>
    <row r="7" spans="1:12" x14ac:dyDescent="0.3">
      <c r="A7" s="4" t="s">
        <v>20</v>
      </c>
      <c r="B7" s="5">
        <v>1081203</v>
      </c>
      <c r="D7" s="4" t="s">
        <v>11</v>
      </c>
      <c r="E7" s="5">
        <v>978024</v>
      </c>
      <c r="G7" s="4" t="s">
        <v>19</v>
      </c>
      <c r="H7" s="5">
        <v>911612</v>
      </c>
      <c r="K7" s="4" t="s">
        <v>16</v>
      </c>
      <c r="L7">
        <v>1201</v>
      </c>
    </row>
    <row r="8" spans="1:12" x14ac:dyDescent="0.3">
      <c r="A8" s="4" t="s">
        <v>28</v>
      </c>
      <c r="B8" s="5">
        <v>5115572</v>
      </c>
      <c r="D8" s="4" t="s">
        <v>18</v>
      </c>
      <c r="E8" s="5">
        <v>746388</v>
      </c>
      <c r="G8" s="4" t="s">
        <v>17</v>
      </c>
      <c r="H8" s="5">
        <v>1005222</v>
      </c>
      <c r="K8" s="4" t="s">
        <v>11</v>
      </c>
      <c r="L8">
        <v>928</v>
      </c>
    </row>
    <row r="9" spans="1:12" x14ac:dyDescent="0.3">
      <c r="D9" s="4" t="s">
        <v>28</v>
      </c>
      <c r="E9" s="5">
        <v>5115572</v>
      </c>
      <c r="G9" s="4" t="s">
        <v>28</v>
      </c>
      <c r="H9" s="5">
        <v>5115572</v>
      </c>
      <c r="K9" s="4" t="s">
        <v>18</v>
      </c>
      <c r="L9">
        <v>774</v>
      </c>
    </row>
    <row r="10" spans="1:12" x14ac:dyDescent="0.3">
      <c r="K10" s="4" t="s">
        <v>28</v>
      </c>
      <c r="L10">
        <v>4971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E3643-5C27-4607-8DA2-95832FCA82E0}">
  <dimension ref="A1:K201"/>
  <sheetViews>
    <sheetView topLeftCell="A58" workbookViewId="0">
      <selection sqref="A1:I201"/>
    </sheetView>
  </sheetViews>
  <sheetFormatPr defaultRowHeight="14.4" x14ac:dyDescent="0.3"/>
  <cols>
    <col min="1" max="1" width="10.33203125" bestFit="1" customWidth="1"/>
    <col min="2" max="2" width="13.33203125" customWidth="1"/>
    <col min="4" max="4" width="9.5546875" customWidth="1"/>
    <col min="5" max="5" width="10.5546875" customWidth="1"/>
    <col min="6" max="6" width="11" customWidth="1"/>
    <col min="7" max="7" width="14.5546875" customWidth="1"/>
    <col min="8" max="8" width="11.77734375" customWidth="1"/>
    <col min="11" max="11" width="10.21875" bestFit="1" customWidth="1"/>
  </cols>
  <sheetData>
    <row r="1" spans="1:11" x14ac:dyDescent="0.3">
      <c r="A1" t="s">
        <v>0</v>
      </c>
      <c r="B1" t="s">
        <v>1</v>
      </c>
      <c r="C1" t="s">
        <v>2</v>
      </c>
      <c r="D1" t="s">
        <v>3</v>
      </c>
      <c r="E1" t="s">
        <v>4</v>
      </c>
      <c r="F1" t="s">
        <v>5</v>
      </c>
      <c r="G1" t="s">
        <v>6</v>
      </c>
      <c r="H1" t="s">
        <v>7</v>
      </c>
      <c r="I1" t="s">
        <v>8</v>
      </c>
    </row>
    <row r="2" spans="1:11" x14ac:dyDescent="0.3">
      <c r="A2" s="1">
        <v>45330</v>
      </c>
      <c r="B2" t="s">
        <v>9</v>
      </c>
      <c r="C2" t="s">
        <v>10</v>
      </c>
      <c r="D2" t="s">
        <v>11</v>
      </c>
      <c r="E2">
        <v>2</v>
      </c>
      <c r="F2">
        <v>1681</v>
      </c>
      <c r="G2">
        <v>1244.32</v>
      </c>
      <c r="H2">
        <v>3362</v>
      </c>
      <c r="I2">
        <v>873.36</v>
      </c>
    </row>
    <row r="3" spans="1:11" x14ac:dyDescent="0.3">
      <c r="A3" s="1">
        <v>45304</v>
      </c>
      <c r="B3" t="s">
        <v>12</v>
      </c>
      <c r="C3" t="s">
        <v>13</v>
      </c>
      <c r="D3" t="s">
        <v>14</v>
      </c>
      <c r="E3">
        <v>17</v>
      </c>
      <c r="F3">
        <v>1080</v>
      </c>
      <c r="G3">
        <v>824.95</v>
      </c>
      <c r="H3">
        <v>18360</v>
      </c>
      <c r="I3">
        <v>4335.79</v>
      </c>
    </row>
    <row r="4" spans="1:11" x14ac:dyDescent="0.3">
      <c r="A4" s="1">
        <v>45333</v>
      </c>
      <c r="B4" t="s">
        <v>15</v>
      </c>
      <c r="C4" t="s">
        <v>10</v>
      </c>
      <c r="D4" t="s">
        <v>16</v>
      </c>
      <c r="E4">
        <v>20</v>
      </c>
      <c r="F4">
        <v>896</v>
      </c>
      <c r="G4">
        <v>572.37</v>
      </c>
      <c r="H4">
        <v>17920</v>
      </c>
      <c r="I4">
        <v>6472.57</v>
      </c>
      <c r="K4" s="2" t="s">
        <v>23</v>
      </c>
    </row>
    <row r="5" spans="1:11" x14ac:dyDescent="0.3">
      <c r="A5" s="1">
        <v>45299</v>
      </c>
      <c r="B5" t="s">
        <v>12</v>
      </c>
      <c r="C5" t="s">
        <v>13</v>
      </c>
      <c r="D5" t="s">
        <v>16</v>
      </c>
      <c r="E5">
        <v>6</v>
      </c>
      <c r="F5">
        <v>413</v>
      </c>
      <c r="G5">
        <v>214.32</v>
      </c>
      <c r="H5">
        <v>2478</v>
      </c>
      <c r="I5">
        <v>1192.07</v>
      </c>
      <c r="K5">
        <f>SUM(Table1[Total Sales])</f>
        <v>5115572</v>
      </c>
    </row>
    <row r="6" spans="1:11" x14ac:dyDescent="0.3">
      <c r="A6" s="1">
        <v>45302</v>
      </c>
      <c r="B6" t="s">
        <v>15</v>
      </c>
      <c r="C6" t="s">
        <v>10</v>
      </c>
      <c r="D6" t="s">
        <v>16</v>
      </c>
      <c r="E6">
        <v>50</v>
      </c>
      <c r="F6">
        <v>1174</v>
      </c>
      <c r="G6">
        <v>809.9</v>
      </c>
      <c r="H6">
        <v>58700</v>
      </c>
      <c r="I6">
        <v>18205</v>
      </c>
      <c r="K6" s="2" t="s">
        <v>26</v>
      </c>
    </row>
    <row r="7" spans="1:11" x14ac:dyDescent="0.3">
      <c r="A7" s="1">
        <v>45312</v>
      </c>
      <c r="B7" t="s">
        <v>17</v>
      </c>
      <c r="C7" t="s">
        <v>13</v>
      </c>
      <c r="D7" t="s">
        <v>18</v>
      </c>
      <c r="E7">
        <v>11</v>
      </c>
      <c r="F7">
        <v>466</v>
      </c>
      <c r="G7">
        <v>240.72</v>
      </c>
      <c r="H7">
        <v>5126</v>
      </c>
      <c r="I7">
        <v>2478.0300000000002</v>
      </c>
      <c r="K7">
        <f>SUM(Table1[Unit Sold])</f>
        <v>4971</v>
      </c>
    </row>
    <row r="8" spans="1:11" x14ac:dyDescent="0.3">
      <c r="A8" s="1">
        <v>45310</v>
      </c>
      <c r="B8" t="s">
        <v>19</v>
      </c>
      <c r="C8" t="s">
        <v>13</v>
      </c>
      <c r="D8" t="s">
        <v>11</v>
      </c>
      <c r="E8">
        <v>11</v>
      </c>
      <c r="F8">
        <v>1582</v>
      </c>
      <c r="G8">
        <v>1248.55</v>
      </c>
      <c r="H8">
        <v>17402</v>
      </c>
      <c r="I8">
        <v>3667.9</v>
      </c>
      <c r="K8" s="2" t="s">
        <v>24</v>
      </c>
    </row>
    <row r="9" spans="1:11" x14ac:dyDescent="0.3">
      <c r="A9" s="1">
        <v>45326</v>
      </c>
      <c r="B9" t="s">
        <v>9</v>
      </c>
      <c r="C9" t="s">
        <v>10</v>
      </c>
      <c r="D9" t="s">
        <v>16</v>
      </c>
      <c r="E9">
        <v>28</v>
      </c>
      <c r="F9">
        <v>1040</v>
      </c>
      <c r="G9">
        <v>687.89</v>
      </c>
      <c r="H9">
        <v>29120</v>
      </c>
      <c r="I9">
        <v>9859</v>
      </c>
      <c r="K9">
        <f>SUM(Table1[Profit])</f>
        <v>1762275.3800000004</v>
      </c>
    </row>
    <row r="10" spans="1:11" x14ac:dyDescent="0.3">
      <c r="A10" s="1">
        <v>45341</v>
      </c>
      <c r="B10" t="s">
        <v>17</v>
      </c>
      <c r="C10" t="s">
        <v>10</v>
      </c>
      <c r="D10" t="s">
        <v>14</v>
      </c>
      <c r="E10">
        <v>38</v>
      </c>
      <c r="F10">
        <v>1932</v>
      </c>
      <c r="G10">
        <v>999.69</v>
      </c>
      <c r="H10">
        <v>73416</v>
      </c>
      <c r="I10">
        <v>35427.879999999997</v>
      </c>
      <c r="K10" s="2" t="s">
        <v>25</v>
      </c>
    </row>
    <row r="11" spans="1:11" x14ac:dyDescent="0.3">
      <c r="A11" s="1">
        <v>45332</v>
      </c>
      <c r="B11" t="s">
        <v>12</v>
      </c>
      <c r="C11" t="s">
        <v>20</v>
      </c>
      <c r="D11" t="s">
        <v>18</v>
      </c>
      <c r="E11">
        <v>28</v>
      </c>
      <c r="F11">
        <v>521</v>
      </c>
      <c r="G11">
        <v>315.43</v>
      </c>
      <c r="H11">
        <v>14588</v>
      </c>
      <c r="I11">
        <v>5755.95</v>
      </c>
      <c r="K11">
        <f>AVERAGE(Table1[Total Sales])</f>
        <v>25577.86</v>
      </c>
    </row>
    <row r="12" spans="1:11" x14ac:dyDescent="0.3">
      <c r="A12" s="1">
        <v>45342</v>
      </c>
      <c r="B12" t="s">
        <v>19</v>
      </c>
      <c r="C12" t="s">
        <v>10</v>
      </c>
      <c r="D12" t="s">
        <v>11</v>
      </c>
      <c r="E12">
        <v>15</v>
      </c>
      <c r="F12">
        <v>1487</v>
      </c>
      <c r="G12">
        <v>768.28</v>
      </c>
      <c r="H12">
        <v>22305</v>
      </c>
      <c r="I12">
        <v>10780.86</v>
      </c>
    </row>
    <row r="13" spans="1:11" x14ac:dyDescent="0.3">
      <c r="A13" s="1">
        <v>45341</v>
      </c>
      <c r="B13" t="s">
        <v>19</v>
      </c>
      <c r="C13" t="s">
        <v>21</v>
      </c>
      <c r="D13" t="s">
        <v>11</v>
      </c>
      <c r="E13">
        <v>5</v>
      </c>
      <c r="F13">
        <v>568</v>
      </c>
      <c r="G13">
        <v>442.88</v>
      </c>
      <c r="H13">
        <v>2840</v>
      </c>
      <c r="I13">
        <v>625.59</v>
      </c>
    </row>
    <row r="14" spans="1:11" x14ac:dyDescent="0.3">
      <c r="A14" s="1">
        <v>45300</v>
      </c>
      <c r="B14" t="s">
        <v>9</v>
      </c>
      <c r="C14" t="s">
        <v>20</v>
      </c>
      <c r="D14" t="s">
        <v>11</v>
      </c>
      <c r="E14">
        <v>38</v>
      </c>
      <c r="F14">
        <v>1419</v>
      </c>
      <c r="G14">
        <v>860.61</v>
      </c>
      <c r="H14">
        <v>53922</v>
      </c>
      <c r="I14">
        <v>21218.68</v>
      </c>
    </row>
    <row r="15" spans="1:11" x14ac:dyDescent="0.3">
      <c r="A15" s="1">
        <v>45337</v>
      </c>
      <c r="B15" t="s">
        <v>17</v>
      </c>
      <c r="C15" t="s">
        <v>20</v>
      </c>
      <c r="D15" t="s">
        <v>18</v>
      </c>
      <c r="E15">
        <v>1</v>
      </c>
      <c r="F15">
        <v>1349</v>
      </c>
      <c r="G15">
        <v>977.74</v>
      </c>
      <c r="H15">
        <v>1349</v>
      </c>
      <c r="I15">
        <v>371.26</v>
      </c>
    </row>
    <row r="16" spans="1:11" x14ac:dyDescent="0.3">
      <c r="A16" s="1">
        <v>45302</v>
      </c>
      <c r="B16" t="s">
        <v>9</v>
      </c>
      <c r="C16" t="s">
        <v>20</v>
      </c>
      <c r="D16" t="s">
        <v>11</v>
      </c>
      <c r="E16">
        <v>9</v>
      </c>
      <c r="F16">
        <v>543</v>
      </c>
      <c r="G16">
        <v>339.97</v>
      </c>
      <c r="H16">
        <v>4887</v>
      </c>
      <c r="I16">
        <v>1827.27</v>
      </c>
    </row>
    <row r="17" spans="1:9" x14ac:dyDescent="0.3">
      <c r="A17" s="1">
        <v>45299</v>
      </c>
      <c r="B17" t="s">
        <v>12</v>
      </c>
      <c r="C17" t="s">
        <v>21</v>
      </c>
      <c r="D17" t="s">
        <v>22</v>
      </c>
      <c r="E17">
        <v>17</v>
      </c>
      <c r="F17">
        <v>1389</v>
      </c>
      <c r="G17">
        <v>898.89</v>
      </c>
      <c r="H17">
        <v>23613</v>
      </c>
      <c r="I17">
        <v>8331.93</v>
      </c>
    </row>
    <row r="18" spans="1:9" x14ac:dyDescent="0.3">
      <c r="A18" s="1">
        <v>45313</v>
      </c>
      <c r="B18" t="s">
        <v>17</v>
      </c>
      <c r="C18" t="s">
        <v>13</v>
      </c>
      <c r="D18" t="s">
        <v>18</v>
      </c>
      <c r="E18">
        <v>17</v>
      </c>
      <c r="F18">
        <v>624</v>
      </c>
      <c r="G18">
        <v>361.06</v>
      </c>
      <c r="H18">
        <v>10608</v>
      </c>
      <c r="I18">
        <v>4470.04</v>
      </c>
    </row>
    <row r="19" spans="1:9" x14ac:dyDescent="0.3">
      <c r="A19" s="1">
        <v>45321</v>
      </c>
      <c r="B19" t="s">
        <v>12</v>
      </c>
      <c r="C19" t="s">
        <v>13</v>
      </c>
      <c r="D19" t="s">
        <v>11</v>
      </c>
      <c r="E19">
        <v>17</v>
      </c>
      <c r="F19">
        <v>1957</v>
      </c>
      <c r="G19">
        <v>1548.56</v>
      </c>
      <c r="H19">
        <v>33269</v>
      </c>
      <c r="I19">
        <v>6943.46</v>
      </c>
    </row>
    <row r="20" spans="1:9" x14ac:dyDescent="0.3">
      <c r="A20" s="1">
        <v>45330</v>
      </c>
      <c r="B20" t="s">
        <v>19</v>
      </c>
      <c r="C20" t="s">
        <v>21</v>
      </c>
      <c r="D20" t="s">
        <v>14</v>
      </c>
      <c r="E20">
        <v>6</v>
      </c>
      <c r="F20">
        <v>588</v>
      </c>
      <c r="G20">
        <v>330.97</v>
      </c>
      <c r="H20">
        <v>3528</v>
      </c>
      <c r="I20">
        <v>1542.2</v>
      </c>
    </row>
    <row r="21" spans="1:9" x14ac:dyDescent="0.3">
      <c r="A21" s="1">
        <v>45321</v>
      </c>
      <c r="B21" t="s">
        <v>17</v>
      </c>
      <c r="C21" t="s">
        <v>21</v>
      </c>
      <c r="D21" t="s">
        <v>22</v>
      </c>
      <c r="E21">
        <v>27</v>
      </c>
      <c r="F21">
        <v>314</v>
      </c>
      <c r="G21">
        <v>219.45</v>
      </c>
      <c r="H21">
        <v>8478</v>
      </c>
      <c r="I21">
        <v>2552.92</v>
      </c>
    </row>
    <row r="22" spans="1:9" x14ac:dyDescent="0.3">
      <c r="A22" s="1">
        <v>45329</v>
      </c>
      <c r="B22" t="s">
        <v>12</v>
      </c>
      <c r="C22" t="s">
        <v>13</v>
      </c>
      <c r="D22" t="s">
        <v>18</v>
      </c>
      <c r="E22">
        <v>2</v>
      </c>
      <c r="F22">
        <v>1822</v>
      </c>
      <c r="G22">
        <v>1445.22</v>
      </c>
      <c r="H22">
        <v>3644</v>
      </c>
      <c r="I22">
        <v>753.56</v>
      </c>
    </row>
    <row r="23" spans="1:9" x14ac:dyDescent="0.3">
      <c r="A23" s="1">
        <v>45296</v>
      </c>
      <c r="B23" t="s">
        <v>9</v>
      </c>
      <c r="C23" t="s">
        <v>20</v>
      </c>
      <c r="D23" t="s">
        <v>11</v>
      </c>
      <c r="E23">
        <v>6</v>
      </c>
      <c r="F23">
        <v>989</v>
      </c>
      <c r="G23">
        <v>681.43</v>
      </c>
      <c r="H23">
        <v>5934</v>
      </c>
      <c r="I23">
        <v>1845.39</v>
      </c>
    </row>
    <row r="24" spans="1:9" x14ac:dyDescent="0.3">
      <c r="A24" s="1">
        <v>45319</v>
      </c>
      <c r="B24" t="s">
        <v>9</v>
      </c>
      <c r="C24" t="s">
        <v>13</v>
      </c>
      <c r="D24" t="s">
        <v>16</v>
      </c>
      <c r="E24">
        <v>8</v>
      </c>
      <c r="F24">
        <v>202</v>
      </c>
      <c r="G24">
        <v>102.91</v>
      </c>
      <c r="H24">
        <v>1616</v>
      </c>
      <c r="I24">
        <v>792.73</v>
      </c>
    </row>
    <row r="25" spans="1:9" x14ac:dyDescent="0.3">
      <c r="A25" s="1">
        <v>45342</v>
      </c>
      <c r="B25" t="s">
        <v>17</v>
      </c>
      <c r="C25" t="s">
        <v>20</v>
      </c>
      <c r="D25" t="s">
        <v>22</v>
      </c>
      <c r="E25">
        <v>4</v>
      </c>
      <c r="F25">
        <v>749</v>
      </c>
      <c r="G25">
        <v>536.41</v>
      </c>
      <c r="H25">
        <v>2996</v>
      </c>
      <c r="I25">
        <v>850.36</v>
      </c>
    </row>
    <row r="26" spans="1:9" x14ac:dyDescent="0.3">
      <c r="A26" s="1">
        <v>45299</v>
      </c>
      <c r="B26" t="s">
        <v>12</v>
      </c>
      <c r="C26" t="s">
        <v>10</v>
      </c>
      <c r="D26" t="s">
        <v>18</v>
      </c>
      <c r="E26">
        <v>16</v>
      </c>
      <c r="F26">
        <v>411</v>
      </c>
      <c r="G26">
        <v>226.87</v>
      </c>
      <c r="H26">
        <v>6576</v>
      </c>
      <c r="I26">
        <v>2946.06</v>
      </c>
    </row>
    <row r="27" spans="1:9" x14ac:dyDescent="0.3">
      <c r="A27" s="1">
        <v>45306</v>
      </c>
      <c r="B27" t="s">
        <v>17</v>
      </c>
      <c r="C27" t="s">
        <v>13</v>
      </c>
      <c r="D27" t="s">
        <v>22</v>
      </c>
      <c r="E27">
        <v>44</v>
      </c>
      <c r="F27">
        <v>1024</v>
      </c>
      <c r="G27">
        <v>740.91</v>
      </c>
      <c r="H27">
        <v>45056</v>
      </c>
      <c r="I27">
        <v>12456.14</v>
      </c>
    </row>
    <row r="28" spans="1:9" x14ac:dyDescent="0.3">
      <c r="A28" s="1">
        <v>45309</v>
      </c>
      <c r="B28" t="s">
        <v>12</v>
      </c>
      <c r="C28" t="s">
        <v>21</v>
      </c>
      <c r="D28" t="s">
        <v>16</v>
      </c>
      <c r="E28">
        <v>26</v>
      </c>
      <c r="F28">
        <v>1806</v>
      </c>
      <c r="G28">
        <v>1078.1500000000001</v>
      </c>
      <c r="H28">
        <v>46956</v>
      </c>
      <c r="I28">
        <v>18923.98</v>
      </c>
    </row>
    <row r="29" spans="1:9" x14ac:dyDescent="0.3">
      <c r="A29" s="1">
        <v>45327</v>
      </c>
      <c r="B29" t="s">
        <v>9</v>
      </c>
      <c r="C29" t="s">
        <v>21</v>
      </c>
      <c r="D29" t="s">
        <v>11</v>
      </c>
      <c r="E29">
        <v>33</v>
      </c>
      <c r="F29">
        <v>1727</v>
      </c>
      <c r="G29">
        <v>1324.05</v>
      </c>
      <c r="H29">
        <v>56991</v>
      </c>
      <c r="I29">
        <v>13297.48</v>
      </c>
    </row>
    <row r="30" spans="1:9" x14ac:dyDescent="0.3">
      <c r="A30" s="1">
        <v>45301</v>
      </c>
      <c r="B30" t="s">
        <v>19</v>
      </c>
      <c r="C30" t="s">
        <v>21</v>
      </c>
      <c r="D30" t="s">
        <v>16</v>
      </c>
      <c r="E30">
        <v>12</v>
      </c>
      <c r="F30">
        <v>324</v>
      </c>
      <c r="G30">
        <v>241.81</v>
      </c>
      <c r="H30">
        <v>3888</v>
      </c>
      <c r="I30">
        <v>986.27</v>
      </c>
    </row>
    <row r="31" spans="1:9" x14ac:dyDescent="0.3">
      <c r="A31" s="1">
        <v>45309</v>
      </c>
      <c r="B31" t="s">
        <v>19</v>
      </c>
      <c r="C31" t="s">
        <v>10</v>
      </c>
      <c r="D31" t="s">
        <v>14</v>
      </c>
      <c r="E31">
        <v>33</v>
      </c>
      <c r="F31">
        <v>1732</v>
      </c>
      <c r="G31">
        <v>875.86</v>
      </c>
      <c r="H31">
        <v>57156</v>
      </c>
      <c r="I31">
        <v>28252.59</v>
      </c>
    </row>
    <row r="32" spans="1:9" x14ac:dyDescent="0.3">
      <c r="A32" s="1">
        <v>45315</v>
      </c>
      <c r="B32" t="s">
        <v>19</v>
      </c>
      <c r="C32" t="s">
        <v>13</v>
      </c>
      <c r="D32" t="s">
        <v>11</v>
      </c>
      <c r="E32">
        <v>31</v>
      </c>
      <c r="F32">
        <v>157</v>
      </c>
      <c r="G32">
        <v>121.58</v>
      </c>
      <c r="H32">
        <v>4867</v>
      </c>
      <c r="I32">
        <v>1098.04</v>
      </c>
    </row>
    <row r="33" spans="1:9" x14ac:dyDescent="0.3">
      <c r="A33" s="1">
        <v>45338</v>
      </c>
      <c r="B33" t="s">
        <v>12</v>
      </c>
      <c r="C33" t="s">
        <v>20</v>
      </c>
      <c r="D33" t="s">
        <v>18</v>
      </c>
      <c r="E33">
        <v>27</v>
      </c>
      <c r="F33">
        <v>1507</v>
      </c>
      <c r="G33">
        <v>1181.6400000000001</v>
      </c>
      <c r="H33">
        <v>40689</v>
      </c>
      <c r="I33">
        <v>8784.66</v>
      </c>
    </row>
    <row r="34" spans="1:9" x14ac:dyDescent="0.3">
      <c r="A34" s="1">
        <v>45303</v>
      </c>
      <c r="B34" t="s">
        <v>15</v>
      </c>
      <c r="C34" t="s">
        <v>13</v>
      </c>
      <c r="D34" t="s">
        <v>18</v>
      </c>
      <c r="E34">
        <v>10</v>
      </c>
      <c r="F34">
        <v>568</v>
      </c>
      <c r="G34">
        <v>394</v>
      </c>
      <c r="H34">
        <v>5680</v>
      </c>
      <c r="I34">
        <v>1740</v>
      </c>
    </row>
    <row r="35" spans="1:9" x14ac:dyDescent="0.3">
      <c r="A35" s="1">
        <v>45342</v>
      </c>
      <c r="B35" t="s">
        <v>15</v>
      </c>
      <c r="C35" t="s">
        <v>10</v>
      </c>
      <c r="D35" t="s">
        <v>22</v>
      </c>
      <c r="E35">
        <v>26</v>
      </c>
      <c r="F35">
        <v>330</v>
      </c>
      <c r="G35">
        <v>225.06</v>
      </c>
      <c r="H35">
        <v>8580</v>
      </c>
      <c r="I35">
        <v>2728.55</v>
      </c>
    </row>
    <row r="36" spans="1:9" x14ac:dyDescent="0.3">
      <c r="A36" s="1">
        <v>45328</v>
      </c>
      <c r="B36" t="s">
        <v>17</v>
      </c>
      <c r="C36" t="s">
        <v>21</v>
      </c>
      <c r="D36" t="s">
        <v>16</v>
      </c>
      <c r="E36">
        <v>44</v>
      </c>
      <c r="F36">
        <v>1340</v>
      </c>
      <c r="G36">
        <v>949.5</v>
      </c>
      <c r="H36">
        <v>58960</v>
      </c>
      <c r="I36">
        <v>17182.080000000002</v>
      </c>
    </row>
    <row r="37" spans="1:9" x14ac:dyDescent="0.3">
      <c r="A37" s="1">
        <v>45299</v>
      </c>
      <c r="B37" t="s">
        <v>17</v>
      </c>
      <c r="C37" t="s">
        <v>13</v>
      </c>
      <c r="D37" t="s">
        <v>11</v>
      </c>
      <c r="E37">
        <v>48</v>
      </c>
      <c r="F37">
        <v>585</v>
      </c>
      <c r="G37">
        <v>367.7</v>
      </c>
      <c r="H37">
        <v>28080</v>
      </c>
      <c r="I37">
        <v>10430.6</v>
      </c>
    </row>
    <row r="38" spans="1:9" x14ac:dyDescent="0.3">
      <c r="A38" s="1">
        <v>45309</v>
      </c>
      <c r="B38" t="s">
        <v>17</v>
      </c>
      <c r="C38" t="s">
        <v>10</v>
      </c>
      <c r="D38" t="s">
        <v>22</v>
      </c>
      <c r="E38">
        <v>15</v>
      </c>
      <c r="F38">
        <v>689</v>
      </c>
      <c r="G38">
        <v>443.95</v>
      </c>
      <c r="H38">
        <v>10335</v>
      </c>
      <c r="I38">
        <v>3675.68</v>
      </c>
    </row>
    <row r="39" spans="1:9" x14ac:dyDescent="0.3">
      <c r="A39" s="1">
        <v>45346</v>
      </c>
      <c r="B39" t="s">
        <v>15</v>
      </c>
      <c r="C39" t="s">
        <v>20</v>
      </c>
      <c r="D39" t="s">
        <v>22</v>
      </c>
      <c r="E39">
        <v>14</v>
      </c>
      <c r="F39">
        <v>1979</v>
      </c>
      <c r="G39">
        <v>1001.13</v>
      </c>
      <c r="H39">
        <v>27706</v>
      </c>
      <c r="I39">
        <v>13690.17</v>
      </c>
    </row>
    <row r="40" spans="1:9" x14ac:dyDescent="0.3">
      <c r="A40" s="1">
        <v>45337</v>
      </c>
      <c r="B40" t="s">
        <v>12</v>
      </c>
      <c r="C40" t="s">
        <v>21</v>
      </c>
      <c r="D40" t="s">
        <v>14</v>
      </c>
      <c r="E40">
        <v>34</v>
      </c>
      <c r="F40">
        <v>1983</v>
      </c>
      <c r="G40">
        <v>1321.86</v>
      </c>
      <c r="H40">
        <v>67422</v>
      </c>
      <c r="I40">
        <v>22478.86</v>
      </c>
    </row>
    <row r="41" spans="1:9" x14ac:dyDescent="0.3">
      <c r="A41" s="1">
        <v>45313</v>
      </c>
      <c r="B41" t="s">
        <v>9</v>
      </c>
      <c r="C41" t="s">
        <v>21</v>
      </c>
      <c r="D41" t="s">
        <v>16</v>
      </c>
      <c r="E41">
        <v>42</v>
      </c>
      <c r="F41">
        <v>337</v>
      </c>
      <c r="G41">
        <v>225.09</v>
      </c>
      <c r="H41">
        <v>14154</v>
      </c>
      <c r="I41">
        <v>4700.34</v>
      </c>
    </row>
    <row r="42" spans="1:9" x14ac:dyDescent="0.3">
      <c r="A42" s="1">
        <v>45297</v>
      </c>
      <c r="B42" t="s">
        <v>9</v>
      </c>
      <c r="C42" t="s">
        <v>13</v>
      </c>
      <c r="D42" t="s">
        <v>16</v>
      </c>
      <c r="E42">
        <v>24</v>
      </c>
      <c r="F42">
        <v>1831</v>
      </c>
      <c r="G42">
        <v>1326.56</v>
      </c>
      <c r="H42">
        <v>43944</v>
      </c>
      <c r="I42">
        <v>12106.55</v>
      </c>
    </row>
    <row r="43" spans="1:9" x14ac:dyDescent="0.3">
      <c r="A43" s="1">
        <v>45322</v>
      </c>
      <c r="B43" t="s">
        <v>19</v>
      </c>
      <c r="C43" t="s">
        <v>13</v>
      </c>
      <c r="D43" t="s">
        <v>22</v>
      </c>
      <c r="E43">
        <v>37</v>
      </c>
      <c r="F43">
        <v>276</v>
      </c>
      <c r="G43">
        <v>212.65</v>
      </c>
      <c r="H43">
        <v>10212</v>
      </c>
      <c r="I43">
        <v>2343.9699999999998</v>
      </c>
    </row>
    <row r="44" spans="1:9" x14ac:dyDescent="0.3">
      <c r="A44" s="1">
        <v>45337</v>
      </c>
      <c r="B44" t="s">
        <v>17</v>
      </c>
      <c r="C44" t="s">
        <v>20</v>
      </c>
      <c r="D44" t="s">
        <v>22</v>
      </c>
      <c r="E44">
        <v>28</v>
      </c>
      <c r="F44">
        <v>1140</v>
      </c>
      <c r="G44">
        <v>814.67</v>
      </c>
      <c r="H44">
        <v>31920</v>
      </c>
      <c r="I44">
        <v>9109.3799999999992</v>
      </c>
    </row>
    <row r="45" spans="1:9" x14ac:dyDescent="0.3">
      <c r="A45" s="1">
        <v>45307</v>
      </c>
      <c r="B45" t="s">
        <v>17</v>
      </c>
      <c r="C45" t="s">
        <v>13</v>
      </c>
      <c r="D45" t="s">
        <v>11</v>
      </c>
      <c r="E45">
        <v>35</v>
      </c>
      <c r="F45">
        <v>1306</v>
      </c>
      <c r="G45">
        <v>948.37</v>
      </c>
      <c r="H45">
        <v>45710</v>
      </c>
      <c r="I45">
        <v>12517.08</v>
      </c>
    </row>
    <row r="46" spans="1:9" x14ac:dyDescent="0.3">
      <c r="A46" s="1">
        <v>45297</v>
      </c>
      <c r="B46" t="s">
        <v>19</v>
      </c>
      <c r="C46" t="s">
        <v>10</v>
      </c>
      <c r="D46" t="s">
        <v>16</v>
      </c>
      <c r="E46">
        <v>5</v>
      </c>
      <c r="F46">
        <v>1360</v>
      </c>
      <c r="G46">
        <v>722.16</v>
      </c>
      <c r="H46">
        <v>6800</v>
      </c>
      <c r="I46">
        <v>3189.2</v>
      </c>
    </row>
    <row r="47" spans="1:9" x14ac:dyDescent="0.3">
      <c r="A47" s="1">
        <v>45326</v>
      </c>
      <c r="B47" t="s">
        <v>9</v>
      </c>
      <c r="C47" t="s">
        <v>10</v>
      </c>
      <c r="D47" t="s">
        <v>16</v>
      </c>
      <c r="E47">
        <v>39</v>
      </c>
      <c r="F47">
        <v>124</v>
      </c>
      <c r="G47">
        <v>64.8</v>
      </c>
      <c r="H47">
        <v>4836</v>
      </c>
      <c r="I47">
        <v>2308.9299999999998</v>
      </c>
    </row>
    <row r="48" spans="1:9" x14ac:dyDescent="0.3">
      <c r="A48" s="1">
        <v>45293</v>
      </c>
      <c r="B48" t="s">
        <v>19</v>
      </c>
      <c r="C48" t="s">
        <v>10</v>
      </c>
      <c r="D48" t="s">
        <v>18</v>
      </c>
      <c r="E48">
        <v>46</v>
      </c>
      <c r="F48">
        <v>1868</v>
      </c>
      <c r="G48">
        <v>1439.11</v>
      </c>
      <c r="H48">
        <v>85928</v>
      </c>
      <c r="I48">
        <v>19729.12</v>
      </c>
    </row>
    <row r="49" spans="1:9" x14ac:dyDescent="0.3">
      <c r="A49" s="1">
        <v>45305</v>
      </c>
      <c r="B49" t="s">
        <v>19</v>
      </c>
      <c r="C49" t="s">
        <v>21</v>
      </c>
      <c r="D49" t="s">
        <v>14</v>
      </c>
      <c r="E49">
        <v>17</v>
      </c>
      <c r="F49">
        <v>199</v>
      </c>
      <c r="G49">
        <v>121.31</v>
      </c>
      <c r="H49">
        <v>3383</v>
      </c>
      <c r="I49">
        <v>1320.74</v>
      </c>
    </row>
    <row r="50" spans="1:9" x14ac:dyDescent="0.3">
      <c r="A50" s="1">
        <v>45296</v>
      </c>
      <c r="B50" t="s">
        <v>17</v>
      </c>
      <c r="C50" t="s">
        <v>10</v>
      </c>
      <c r="D50" t="s">
        <v>16</v>
      </c>
      <c r="E50">
        <v>4</v>
      </c>
      <c r="F50">
        <v>1025</v>
      </c>
      <c r="G50">
        <v>781.98</v>
      </c>
      <c r="H50">
        <v>4100</v>
      </c>
      <c r="I50">
        <v>972.09</v>
      </c>
    </row>
    <row r="51" spans="1:9" x14ac:dyDescent="0.3">
      <c r="A51" s="1">
        <v>45316</v>
      </c>
      <c r="B51" t="s">
        <v>15</v>
      </c>
      <c r="C51" t="s">
        <v>10</v>
      </c>
      <c r="D51" t="s">
        <v>18</v>
      </c>
      <c r="E51">
        <v>10</v>
      </c>
      <c r="F51">
        <v>1289</v>
      </c>
      <c r="G51">
        <v>828</v>
      </c>
      <c r="H51">
        <v>12890</v>
      </c>
      <c r="I51">
        <v>4609.96</v>
      </c>
    </row>
    <row r="52" spans="1:9" x14ac:dyDescent="0.3">
      <c r="A52" s="1">
        <v>45308</v>
      </c>
      <c r="B52" t="s">
        <v>9</v>
      </c>
      <c r="C52" t="s">
        <v>10</v>
      </c>
      <c r="D52" t="s">
        <v>18</v>
      </c>
      <c r="E52">
        <v>6</v>
      </c>
      <c r="F52">
        <v>1569</v>
      </c>
      <c r="G52">
        <v>1075.98</v>
      </c>
      <c r="H52">
        <v>9414</v>
      </c>
      <c r="I52">
        <v>2958.15</v>
      </c>
    </row>
    <row r="53" spans="1:9" x14ac:dyDescent="0.3">
      <c r="A53" s="1">
        <v>45327</v>
      </c>
      <c r="B53" t="s">
        <v>17</v>
      </c>
      <c r="C53" t="s">
        <v>21</v>
      </c>
      <c r="D53" t="s">
        <v>22</v>
      </c>
      <c r="E53">
        <v>27</v>
      </c>
      <c r="F53">
        <v>726</v>
      </c>
      <c r="G53">
        <v>407.44</v>
      </c>
      <c r="H53">
        <v>19602</v>
      </c>
      <c r="I53">
        <v>8601.2099999999991</v>
      </c>
    </row>
    <row r="54" spans="1:9" x14ac:dyDescent="0.3">
      <c r="A54" s="1">
        <v>45316</v>
      </c>
      <c r="B54" t="s">
        <v>12</v>
      </c>
      <c r="C54" t="s">
        <v>10</v>
      </c>
      <c r="D54" t="s">
        <v>16</v>
      </c>
      <c r="E54">
        <v>24</v>
      </c>
      <c r="F54">
        <v>871</v>
      </c>
      <c r="G54">
        <v>640.70000000000005</v>
      </c>
      <c r="H54">
        <v>20904</v>
      </c>
      <c r="I54">
        <v>5527.17</v>
      </c>
    </row>
    <row r="55" spans="1:9" x14ac:dyDescent="0.3">
      <c r="A55" s="1">
        <v>45334</v>
      </c>
      <c r="B55" t="s">
        <v>19</v>
      </c>
      <c r="C55" t="s">
        <v>13</v>
      </c>
      <c r="D55" t="s">
        <v>14</v>
      </c>
      <c r="E55">
        <v>29</v>
      </c>
      <c r="F55">
        <v>786</v>
      </c>
      <c r="G55">
        <v>471.75</v>
      </c>
      <c r="H55">
        <v>22794</v>
      </c>
      <c r="I55">
        <v>9113.35</v>
      </c>
    </row>
    <row r="56" spans="1:9" x14ac:dyDescent="0.3">
      <c r="A56" s="1">
        <v>45307</v>
      </c>
      <c r="B56" t="s">
        <v>17</v>
      </c>
      <c r="C56" t="s">
        <v>20</v>
      </c>
      <c r="D56" t="s">
        <v>14</v>
      </c>
      <c r="E56">
        <v>10</v>
      </c>
      <c r="F56">
        <v>806</v>
      </c>
      <c r="G56">
        <v>432.06</v>
      </c>
      <c r="H56">
        <v>8060</v>
      </c>
      <c r="I56">
        <v>3739.37</v>
      </c>
    </row>
    <row r="57" spans="1:9" x14ac:dyDescent="0.3">
      <c r="A57" s="1">
        <v>45297</v>
      </c>
      <c r="B57" t="s">
        <v>19</v>
      </c>
      <c r="C57" t="s">
        <v>13</v>
      </c>
      <c r="D57" t="s">
        <v>16</v>
      </c>
      <c r="E57">
        <v>46</v>
      </c>
      <c r="F57">
        <v>1899</v>
      </c>
      <c r="G57">
        <v>1396.88</v>
      </c>
      <c r="H57">
        <v>87354</v>
      </c>
      <c r="I57">
        <v>23097.42</v>
      </c>
    </row>
    <row r="58" spans="1:9" x14ac:dyDescent="0.3">
      <c r="A58" s="1">
        <v>45312</v>
      </c>
      <c r="B58" t="s">
        <v>12</v>
      </c>
      <c r="C58" t="s">
        <v>13</v>
      </c>
      <c r="D58" t="s">
        <v>22</v>
      </c>
      <c r="E58">
        <v>49</v>
      </c>
      <c r="F58">
        <v>1462</v>
      </c>
      <c r="G58">
        <v>1025.95</v>
      </c>
      <c r="H58">
        <v>71638</v>
      </c>
      <c r="I58">
        <v>21366.34</v>
      </c>
    </row>
    <row r="59" spans="1:9" x14ac:dyDescent="0.3">
      <c r="A59" s="1">
        <v>45341</v>
      </c>
      <c r="B59" t="s">
        <v>19</v>
      </c>
      <c r="C59" t="s">
        <v>13</v>
      </c>
      <c r="D59" t="s">
        <v>22</v>
      </c>
      <c r="E59">
        <v>15</v>
      </c>
      <c r="F59">
        <v>782</v>
      </c>
      <c r="G59">
        <v>478.06</v>
      </c>
      <c r="H59">
        <v>11730</v>
      </c>
      <c r="I59">
        <v>4559.17</v>
      </c>
    </row>
    <row r="60" spans="1:9" x14ac:dyDescent="0.3">
      <c r="A60" s="1">
        <v>45324</v>
      </c>
      <c r="B60" t="s">
        <v>15</v>
      </c>
      <c r="C60" t="s">
        <v>13</v>
      </c>
      <c r="D60" t="s">
        <v>18</v>
      </c>
      <c r="E60">
        <v>43</v>
      </c>
      <c r="F60">
        <v>977</v>
      </c>
      <c r="G60">
        <v>689.46</v>
      </c>
      <c r="H60">
        <v>42011</v>
      </c>
      <c r="I60">
        <v>12364.33</v>
      </c>
    </row>
    <row r="61" spans="1:9" x14ac:dyDescent="0.3">
      <c r="A61" s="1">
        <v>45298</v>
      </c>
      <c r="B61" t="s">
        <v>17</v>
      </c>
      <c r="C61" t="s">
        <v>13</v>
      </c>
      <c r="D61" t="s">
        <v>18</v>
      </c>
      <c r="E61">
        <v>12</v>
      </c>
      <c r="F61">
        <v>587</v>
      </c>
      <c r="G61">
        <v>419.71</v>
      </c>
      <c r="H61">
        <v>7044</v>
      </c>
      <c r="I61">
        <v>2007.45</v>
      </c>
    </row>
    <row r="62" spans="1:9" x14ac:dyDescent="0.3">
      <c r="A62" s="1">
        <v>45299</v>
      </c>
      <c r="B62" t="s">
        <v>17</v>
      </c>
      <c r="C62" t="s">
        <v>20</v>
      </c>
      <c r="D62" t="s">
        <v>14</v>
      </c>
      <c r="E62">
        <v>16</v>
      </c>
      <c r="F62">
        <v>1815</v>
      </c>
      <c r="G62">
        <v>1271.26</v>
      </c>
      <c r="H62">
        <v>29040</v>
      </c>
      <c r="I62">
        <v>8699.7900000000009</v>
      </c>
    </row>
    <row r="63" spans="1:9" x14ac:dyDescent="0.3">
      <c r="A63" s="1">
        <v>45345</v>
      </c>
      <c r="B63" t="s">
        <v>12</v>
      </c>
      <c r="C63" t="s">
        <v>20</v>
      </c>
      <c r="D63" t="s">
        <v>14</v>
      </c>
      <c r="E63">
        <v>30</v>
      </c>
      <c r="F63">
        <v>1984</v>
      </c>
      <c r="G63">
        <v>1274.8499999999999</v>
      </c>
      <c r="H63">
        <v>59520</v>
      </c>
      <c r="I63">
        <v>21274.52</v>
      </c>
    </row>
    <row r="64" spans="1:9" x14ac:dyDescent="0.3">
      <c r="A64" s="1">
        <v>45312</v>
      </c>
      <c r="B64" t="s">
        <v>19</v>
      </c>
      <c r="C64" t="s">
        <v>10</v>
      </c>
      <c r="D64" t="s">
        <v>14</v>
      </c>
      <c r="E64">
        <v>42</v>
      </c>
      <c r="F64">
        <v>1468</v>
      </c>
      <c r="G64">
        <v>782.86</v>
      </c>
      <c r="H64">
        <v>61656</v>
      </c>
      <c r="I64">
        <v>28775.87</v>
      </c>
    </row>
    <row r="65" spans="1:9" x14ac:dyDescent="0.3">
      <c r="A65" s="1">
        <v>45304</v>
      </c>
      <c r="B65" t="s">
        <v>19</v>
      </c>
      <c r="C65" t="s">
        <v>21</v>
      </c>
      <c r="D65" t="s">
        <v>14</v>
      </c>
      <c r="E65">
        <v>4</v>
      </c>
      <c r="F65">
        <v>358</v>
      </c>
      <c r="G65">
        <v>198.11</v>
      </c>
      <c r="H65">
        <v>1432</v>
      </c>
      <c r="I65">
        <v>639.54</v>
      </c>
    </row>
    <row r="66" spans="1:9" x14ac:dyDescent="0.3">
      <c r="A66" s="1">
        <v>45293</v>
      </c>
      <c r="B66" t="s">
        <v>12</v>
      </c>
      <c r="C66" t="s">
        <v>13</v>
      </c>
      <c r="D66" t="s">
        <v>22</v>
      </c>
      <c r="E66">
        <v>26</v>
      </c>
      <c r="F66">
        <v>876</v>
      </c>
      <c r="G66">
        <v>661.94</v>
      </c>
      <c r="H66">
        <v>22776</v>
      </c>
      <c r="I66">
        <v>5565.67</v>
      </c>
    </row>
    <row r="67" spans="1:9" x14ac:dyDescent="0.3">
      <c r="A67" s="1">
        <v>45296</v>
      </c>
      <c r="B67" t="s">
        <v>19</v>
      </c>
      <c r="C67" t="s">
        <v>10</v>
      </c>
      <c r="D67" t="s">
        <v>18</v>
      </c>
      <c r="E67">
        <v>33</v>
      </c>
      <c r="F67">
        <v>891</v>
      </c>
      <c r="G67">
        <v>579.79999999999995</v>
      </c>
      <c r="H67">
        <v>29403</v>
      </c>
      <c r="I67">
        <v>10269.540000000001</v>
      </c>
    </row>
    <row r="68" spans="1:9" x14ac:dyDescent="0.3">
      <c r="A68" s="1">
        <v>45306</v>
      </c>
      <c r="B68" t="s">
        <v>19</v>
      </c>
      <c r="C68" t="s">
        <v>21</v>
      </c>
      <c r="D68" t="s">
        <v>14</v>
      </c>
      <c r="E68">
        <v>16</v>
      </c>
      <c r="F68">
        <v>173</v>
      </c>
      <c r="G68">
        <v>127.36</v>
      </c>
      <c r="H68">
        <v>2768</v>
      </c>
      <c r="I68">
        <v>730.29</v>
      </c>
    </row>
    <row r="69" spans="1:9" x14ac:dyDescent="0.3">
      <c r="A69" s="1">
        <v>45295</v>
      </c>
      <c r="B69" t="s">
        <v>12</v>
      </c>
      <c r="C69" t="s">
        <v>20</v>
      </c>
      <c r="D69" t="s">
        <v>22</v>
      </c>
      <c r="E69">
        <v>47</v>
      </c>
      <c r="F69">
        <v>515</v>
      </c>
      <c r="G69">
        <v>375.26</v>
      </c>
      <c r="H69">
        <v>24205</v>
      </c>
      <c r="I69">
        <v>6567.86</v>
      </c>
    </row>
    <row r="70" spans="1:9" x14ac:dyDescent="0.3">
      <c r="A70" s="1">
        <v>45304</v>
      </c>
      <c r="B70" t="s">
        <v>17</v>
      </c>
      <c r="C70" t="s">
        <v>20</v>
      </c>
      <c r="D70" t="s">
        <v>22</v>
      </c>
      <c r="E70">
        <v>33</v>
      </c>
      <c r="F70">
        <v>996</v>
      </c>
      <c r="G70">
        <v>507.59</v>
      </c>
      <c r="H70">
        <v>32868</v>
      </c>
      <c r="I70">
        <v>16117.55</v>
      </c>
    </row>
    <row r="71" spans="1:9" x14ac:dyDescent="0.3">
      <c r="A71" s="1">
        <v>45310</v>
      </c>
      <c r="B71" t="s">
        <v>17</v>
      </c>
      <c r="C71" t="s">
        <v>13</v>
      </c>
      <c r="D71" t="s">
        <v>22</v>
      </c>
      <c r="E71">
        <v>20</v>
      </c>
      <c r="F71">
        <v>250</v>
      </c>
      <c r="G71">
        <v>165.07</v>
      </c>
      <c r="H71">
        <v>5000</v>
      </c>
      <c r="I71">
        <v>1698.63</v>
      </c>
    </row>
    <row r="72" spans="1:9" x14ac:dyDescent="0.3">
      <c r="A72" s="1">
        <v>45305</v>
      </c>
      <c r="B72" t="s">
        <v>17</v>
      </c>
      <c r="C72" t="s">
        <v>13</v>
      </c>
      <c r="D72" t="s">
        <v>14</v>
      </c>
      <c r="E72">
        <v>42</v>
      </c>
      <c r="F72">
        <v>1174</v>
      </c>
      <c r="G72">
        <v>650.96</v>
      </c>
      <c r="H72">
        <v>49308</v>
      </c>
      <c r="I72">
        <v>21967.7</v>
      </c>
    </row>
    <row r="73" spans="1:9" x14ac:dyDescent="0.3">
      <c r="A73" s="1">
        <v>45343</v>
      </c>
      <c r="B73" t="s">
        <v>19</v>
      </c>
      <c r="C73" t="s">
        <v>20</v>
      </c>
      <c r="D73" t="s">
        <v>22</v>
      </c>
      <c r="E73">
        <v>7</v>
      </c>
      <c r="F73">
        <v>969</v>
      </c>
      <c r="G73">
        <v>530.74</v>
      </c>
      <c r="H73">
        <v>6783</v>
      </c>
      <c r="I73">
        <v>3067.84</v>
      </c>
    </row>
    <row r="74" spans="1:9" x14ac:dyDescent="0.3">
      <c r="A74" s="1">
        <v>45331</v>
      </c>
      <c r="B74" t="s">
        <v>17</v>
      </c>
      <c r="C74" t="s">
        <v>10</v>
      </c>
      <c r="D74" t="s">
        <v>16</v>
      </c>
      <c r="E74">
        <v>11</v>
      </c>
      <c r="F74">
        <v>1664</v>
      </c>
      <c r="G74">
        <v>1140.77</v>
      </c>
      <c r="H74">
        <v>18304</v>
      </c>
      <c r="I74">
        <v>5755.52</v>
      </c>
    </row>
    <row r="75" spans="1:9" x14ac:dyDescent="0.3">
      <c r="A75" s="1">
        <v>45337</v>
      </c>
      <c r="B75" t="s">
        <v>17</v>
      </c>
      <c r="C75" t="s">
        <v>21</v>
      </c>
      <c r="D75" t="s">
        <v>11</v>
      </c>
      <c r="E75">
        <v>28</v>
      </c>
      <c r="F75">
        <v>1567</v>
      </c>
      <c r="G75">
        <v>907.55</v>
      </c>
      <c r="H75">
        <v>43876</v>
      </c>
      <c r="I75">
        <v>18464.73</v>
      </c>
    </row>
    <row r="76" spans="1:9" x14ac:dyDescent="0.3">
      <c r="A76" s="1">
        <v>45295</v>
      </c>
      <c r="B76" t="s">
        <v>15</v>
      </c>
      <c r="C76" t="s">
        <v>13</v>
      </c>
      <c r="D76" t="s">
        <v>14</v>
      </c>
      <c r="E76">
        <v>12</v>
      </c>
      <c r="F76">
        <v>1226</v>
      </c>
      <c r="G76">
        <v>653.03</v>
      </c>
      <c r="H76">
        <v>14712</v>
      </c>
      <c r="I76">
        <v>6875.6</v>
      </c>
    </row>
    <row r="77" spans="1:9" x14ac:dyDescent="0.3">
      <c r="A77" s="1">
        <v>45298</v>
      </c>
      <c r="B77" t="s">
        <v>9</v>
      </c>
      <c r="C77" t="s">
        <v>21</v>
      </c>
      <c r="D77" t="s">
        <v>11</v>
      </c>
      <c r="E77">
        <v>37</v>
      </c>
      <c r="F77">
        <v>706</v>
      </c>
      <c r="G77">
        <v>368.24</v>
      </c>
      <c r="H77">
        <v>26122</v>
      </c>
      <c r="I77">
        <v>12496.99</v>
      </c>
    </row>
    <row r="78" spans="1:9" x14ac:dyDescent="0.3">
      <c r="A78" s="1">
        <v>45308</v>
      </c>
      <c r="B78" t="s">
        <v>12</v>
      </c>
      <c r="C78" t="s">
        <v>10</v>
      </c>
      <c r="D78" t="s">
        <v>14</v>
      </c>
      <c r="E78">
        <v>39</v>
      </c>
      <c r="F78">
        <v>711</v>
      </c>
      <c r="G78">
        <v>454.74</v>
      </c>
      <c r="H78">
        <v>27729</v>
      </c>
      <c r="I78">
        <v>9994.08</v>
      </c>
    </row>
    <row r="79" spans="1:9" x14ac:dyDescent="0.3">
      <c r="A79" s="1">
        <v>45298</v>
      </c>
      <c r="B79" t="s">
        <v>17</v>
      </c>
      <c r="C79" t="s">
        <v>13</v>
      </c>
      <c r="D79" t="s">
        <v>16</v>
      </c>
      <c r="E79">
        <v>30</v>
      </c>
      <c r="F79">
        <v>222</v>
      </c>
      <c r="G79">
        <v>166.86</v>
      </c>
      <c r="H79">
        <v>6660</v>
      </c>
      <c r="I79">
        <v>1654.08</v>
      </c>
    </row>
    <row r="80" spans="1:9" x14ac:dyDescent="0.3">
      <c r="A80" s="1">
        <v>45338</v>
      </c>
      <c r="B80" t="s">
        <v>12</v>
      </c>
      <c r="C80" t="s">
        <v>13</v>
      </c>
      <c r="D80" t="s">
        <v>16</v>
      </c>
      <c r="E80">
        <v>48</v>
      </c>
      <c r="F80">
        <v>954</v>
      </c>
      <c r="G80">
        <v>636.97</v>
      </c>
      <c r="H80">
        <v>45792</v>
      </c>
      <c r="I80">
        <v>15217.66</v>
      </c>
    </row>
    <row r="81" spans="1:9" x14ac:dyDescent="0.3">
      <c r="A81" s="1">
        <v>45312</v>
      </c>
      <c r="B81" t="s">
        <v>19</v>
      </c>
      <c r="C81" t="s">
        <v>10</v>
      </c>
      <c r="D81" t="s">
        <v>11</v>
      </c>
      <c r="E81">
        <v>38</v>
      </c>
      <c r="F81">
        <v>954</v>
      </c>
      <c r="G81">
        <v>552.58000000000004</v>
      </c>
      <c r="H81">
        <v>36252</v>
      </c>
      <c r="I81">
        <v>15253.96</v>
      </c>
    </row>
    <row r="82" spans="1:9" x14ac:dyDescent="0.3">
      <c r="A82" s="1">
        <v>45347</v>
      </c>
      <c r="B82" t="s">
        <v>9</v>
      </c>
      <c r="C82" t="s">
        <v>21</v>
      </c>
      <c r="D82" t="s">
        <v>14</v>
      </c>
      <c r="E82">
        <v>29</v>
      </c>
      <c r="F82">
        <v>670</v>
      </c>
      <c r="G82">
        <v>475.38</v>
      </c>
      <c r="H82">
        <v>19430</v>
      </c>
      <c r="I82">
        <v>5643.98</v>
      </c>
    </row>
    <row r="83" spans="1:9" x14ac:dyDescent="0.3">
      <c r="A83" s="1">
        <v>45305</v>
      </c>
      <c r="B83" t="s">
        <v>9</v>
      </c>
      <c r="C83" t="s">
        <v>21</v>
      </c>
      <c r="D83" t="s">
        <v>14</v>
      </c>
      <c r="E83">
        <v>50</v>
      </c>
      <c r="F83">
        <v>1308</v>
      </c>
      <c r="G83">
        <v>852.76</v>
      </c>
      <c r="H83">
        <v>65400</v>
      </c>
      <c r="I83">
        <v>22761.77</v>
      </c>
    </row>
    <row r="84" spans="1:9" x14ac:dyDescent="0.3">
      <c r="A84" s="1">
        <v>45328</v>
      </c>
      <c r="B84" t="s">
        <v>17</v>
      </c>
      <c r="C84" t="s">
        <v>21</v>
      </c>
      <c r="D84" t="s">
        <v>14</v>
      </c>
      <c r="E84">
        <v>42</v>
      </c>
      <c r="F84">
        <v>1507</v>
      </c>
      <c r="G84">
        <v>971.6</v>
      </c>
      <c r="H84">
        <v>63294</v>
      </c>
      <c r="I84">
        <v>22486.91</v>
      </c>
    </row>
    <row r="85" spans="1:9" x14ac:dyDescent="0.3">
      <c r="A85" s="1">
        <v>45331</v>
      </c>
      <c r="B85" t="s">
        <v>19</v>
      </c>
      <c r="C85" t="s">
        <v>20</v>
      </c>
      <c r="D85" t="s">
        <v>18</v>
      </c>
      <c r="E85">
        <v>37</v>
      </c>
      <c r="F85">
        <v>942</v>
      </c>
      <c r="G85">
        <v>671.17</v>
      </c>
      <c r="H85">
        <v>34854</v>
      </c>
      <c r="I85">
        <v>10020.870000000001</v>
      </c>
    </row>
    <row r="86" spans="1:9" x14ac:dyDescent="0.3">
      <c r="A86" s="1">
        <v>45321</v>
      </c>
      <c r="B86" t="s">
        <v>12</v>
      </c>
      <c r="C86" t="s">
        <v>20</v>
      </c>
      <c r="D86" t="s">
        <v>14</v>
      </c>
      <c r="E86">
        <v>1</v>
      </c>
      <c r="F86">
        <v>1464</v>
      </c>
      <c r="G86">
        <v>852.15</v>
      </c>
      <c r="H86">
        <v>1464</v>
      </c>
      <c r="I86">
        <v>611.85</v>
      </c>
    </row>
    <row r="87" spans="1:9" x14ac:dyDescent="0.3">
      <c r="A87" s="1">
        <v>45294</v>
      </c>
      <c r="B87" t="s">
        <v>12</v>
      </c>
      <c r="C87" t="s">
        <v>10</v>
      </c>
      <c r="D87" t="s">
        <v>11</v>
      </c>
      <c r="E87">
        <v>36</v>
      </c>
      <c r="F87">
        <v>721</v>
      </c>
      <c r="G87">
        <v>566.6</v>
      </c>
      <c r="H87">
        <v>25956</v>
      </c>
      <c r="I87">
        <v>5558.24</v>
      </c>
    </row>
    <row r="88" spans="1:9" x14ac:dyDescent="0.3">
      <c r="A88" s="1">
        <v>45333</v>
      </c>
      <c r="B88" t="s">
        <v>15</v>
      </c>
      <c r="C88" t="s">
        <v>20</v>
      </c>
      <c r="D88" t="s">
        <v>22</v>
      </c>
      <c r="E88">
        <v>22</v>
      </c>
      <c r="F88">
        <v>1779</v>
      </c>
      <c r="G88">
        <v>892.26</v>
      </c>
      <c r="H88">
        <v>39138</v>
      </c>
      <c r="I88">
        <v>19508.27</v>
      </c>
    </row>
    <row r="89" spans="1:9" x14ac:dyDescent="0.3">
      <c r="A89" s="1">
        <v>45335</v>
      </c>
      <c r="B89" t="s">
        <v>9</v>
      </c>
      <c r="C89" t="s">
        <v>20</v>
      </c>
      <c r="D89" t="s">
        <v>11</v>
      </c>
      <c r="E89">
        <v>34</v>
      </c>
      <c r="F89">
        <v>906</v>
      </c>
      <c r="G89">
        <v>602.5</v>
      </c>
      <c r="H89">
        <v>30804</v>
      </c>
      <c r="I89">
        <v>10319.17</v>
      </c>
    </row>
    <row r="90" spans="1:9" x14ac:dyDescent="0.3">
      <c r="A90" s="1">
        <v>45337</v>
      </c>
      <c r="B90" t="s">
        <v>9</v>
      </c>
      <c r="C90" t="s">
        <v>13</v>
      </c>
      <c r="D90" t="s">
        <v>14</v>
      </c>
      <c r="E90">
        <v>21</v>
      </c>
      <c r="F90">
        <v>1375</v>
      </c>
      <c r="G90">
        <v>933.69</v>
      </c>
      <c r="H90">
        <v>28875</v>
      </c>
      <c r="I90">
        <v>9267.57</v>
      </c>
    </row>
    <row r="91" spans="1:9" x14ac:dyDescent="0.3">
      <c r="A91" s="1">
        <v>45330</v>
      </c>
      <c r="B91" t="s">
        <v>17</v>
      </c>
      <c r="C91" t="s">
        <v>10</v>
      </c>
      <c r="D91" t="s">
        <v>16</v>
      </c>
      <c r="E91">
        <v>22</v>
      </c>
      <c r="F91">
        <v>410</v>
      </c>
      <c r="G91">
        <v>234.87</v>
      </c>
      <c r="H91">
        <v>9020</v>
      </c>
      <c r="I91">
        <v>3852.87</v>
      </c>
    </row>
    <row r="92" spans="1:9" x14ac:dyDescent="0.3">
      <c r="A92" s="1">
        <v>45335</v>
      </c>
      <c r="B92" t="s">
        <v>12</v>
      </c>
      <c r="C92" t="s">
        <v>21</v>
      </c>
      <c r="D92" t="s">
        <v>22</v>
      </c>
      <c r="E92">
        <v>22</v>
      </c>
      <c r="F92">
        <v>605</v>
      </c>
      <c r="G92">
        <v>439.56</v>
      </c>
      <c r="H92">
        <v>13310</v>
      </c>
      <c r="I92">
        <v>3639.78</v>
      </c>
    </row>
    <row r="93" spans="1:9" x14ac:dyDescent="0.3">
      <c r="A93" s="1">
        <v>45300</v>
      </c>
      <c r="B93" t="s">
        <v>17</v>
      </c>
      <c r="C93" t="s">
        <v>20</v>
      </c>
      <c r="D93" t="s">
        <v>16</v>
      </c>
      <c r="E93">
        <v>29</v>
      </c>
      <c r="F93">
        <v>299</v>
      </c>
      <c r="G93">
        <v>152.68</v>
      </c>
      <c r="H93">
        <v>8671</v>
      </c>
      <c r="I93">
        <v>4243.24</v>
      </c>
    </row>
    <row r="94" spans="1:9" x14ac:dyDescent="0.3">
      <c r="A94" s="1">
        <v>45350</v>
      </c>
      <c r="B94" t="s">
        <v>15</v>
      </c>
      <c r="C94" t="s">
        <v>20</v>
      </c>
      <c r="D94" t="s">
        <v>16</v>
      </c>
      <c r="E94">
        <v>24</v>
      </c>
      <c r="F94">
        <v>108</v>
      </c>
      <c r="G94">
        <v>56.47</v>
      </c>
      <c r="H94">
        <v>2592</v>
      </c>
      <c r="I94">
        <v>1236.7</v>
      </c>
    </row>
    <row r="95" spans="1:9" x14ac:dyDescent="0.3">
      <c r="A95" s="1">
        <v>45339</v>
      </c>
      <c r="B95" t="s">
        <v>12</v>
      </c>
      <c r="C95" t="s">
        <v>20</v>
      </c>
      <c r="D95" t="s">
        <v>11</v>
      </c>
      <c r="E95">
        <v>13</v>
      </c>
      <c r="F95">
        <v>946</v>
      </c>
      <c r="G95">
        <v>753.17</v>
      </c>
      <c r="H95">
        <v>12298</v>
      </c>
      <c r="I95">
        <v>2506.84</v>
      </c>
    </row>
    <row r="96" spans="1:9" x14ac:dyDescent="0.3">
      <c r="A96" s="1">
        <v>45344</v>
      </c>
      <c r="B96" t="s">
        <v>12</v>
      </c>
      <c r="C96" t="s">
        <v>13</v>
      </c>
      <c r="D96" t="s">
        <v>18</v>
      </c>
      <c r="E96">
        <v>47</v>
      </c>
      <c r="F96">
        <v>245</v>
      </c>
      <c r="G96">
        <v>160.91999999999999</v>
      </c>
      <c r="H96">
        <v>11515</v>
      </c>
      <c r="I96">
        <v>3951.91</v>
      </c>
    </row>
    <row r="97" spans="1:9" x14ac:dyDescent="0.3">
      <c r="A97" s="1">
        <v>45294</v>
      </c>
      <c r="B97" t="s">
        <v>17</v>
      </c>
      <c r="C97" t="s">
        <v>13</v>
      </c>
      <c r="D97" t="s">
        <v>14</v>
      </c>
      <c r="E97">
        <v>27</v>
      </c>
      <c r="F97">
        <v>1988</v>
      </c>
      <c r="G97">
        <v>1026.0999999999999</v>
      </c>
      <c r="H97">
        <v>53676</v>
      </c>
      <c r="I97">
        <v>25971.42</v>
      </c>
    </row>
    <row r="98" spans="1:9" x14ac:dyDescent="0.3">
      <c r="A98" s="1">
        <v>45352</v>
      </c>
      <c r="B98" t="s">
        <v>15</v>
      </c>
      <c r="C98" t="s">
        <v>10</v>
      </c>
      <c r="D98" t="s">
        <v>11</v>
      </c>
      <c r="E98">
        <v>29</v>
      </c>
      <c r="F98">
        <v>981</v>
      </c>
      <c r="G98">
        <v>533.05999999999995</v>
      </c>
      <c r="H98">
        <v>28449</v>
      </c>
      <c r="I98">
        <v>12990.16</v>
      </c>
    </row>
    <row r="99" spans="1:9" x14ac:dyDescent="0.3">
      <c r="A99" s="1">
        <v>45350</v>
      </c>
      <c r="B99" t="s">
        <v>12</v>
      </c>
      <c r="C99" t="s">
        <v>20</v>
      </c>
      <c r="D99" t="s">
        <v>14</v>
      </c>
      <c r="E99">
        <v>6</v>
      </c>
      <c r="F99">
        <v>957</v>
      </c>
      <c r="G99">
        <v>656.33</v>
      </c>
      <c r="H99">
        <v>5742</v>
      </c>
      <c r="I99">
        <v>1804.04</v>
      </c>
    </row>
    <row r="100" spans="1:9" x14ac:dyDescent="0.3">
      <c r="A100" s="1">
        <v>45295</v>
      </c>
      <c r="B100" t="s">
        <v>12</v>
      </c>
      <c r="C100" t="s">
        <v>21</v>
      </c>
      <c r="D100" t="s">
        <v>22</v>
      </c>
      <c r="E100">
        <v>13</v>
      </c>
      <c r="F100">
        <v>1872</v>
      </c>
      <c r="G100">
        <v>1391.77</v>
      </c>
      <c r="H100">
        <v>24336</v>
      </c>
      <c r="I100">
        <v>6243</v>
      </c>
    </row>
    <row r="101" spans="1:9" x14ac:dyDescent="0.3">
      <c r="A101" s="1">
        <v>45320</v>
      </c>
      <c r="B101" t="s">
        <v>15</v>
      </c>
      <c r="C101" t="s">
        <v>20</v>
      </c>
      <c r="D101" t="s">
        <v>22</v>
      </c>
      <c r="E101">
        <v>32</v>
      </c>
      <c r="F101">
        <v>1221</v>
      </c>
      <c r="G101">
        <v>783.19</v>
      </c>
      <c r="H101">
        <v>39072</v>
      </c>
      <c r="I101">
        <v>14009.9</v>
      </c>
    </row>
    <row r="102" spans="1:9" x14ac:dyDescent="0.3">
      <c r="A102" s="1">
        <v>45329</v>
      </c>
      <c r="B102" t="s">
        <v>19</v>
      </c>
      <c r="C102" t="s">
        <v>20</v>
      </c>
      <c r="D102" t="s">
        <v>11</v>
      </c>
      <c r="E102">
        <v>19</v>
      </c>
      <c r="F102">
        <v>792</v>
      </c>
      <c r="G102">
        <v>592.08000000000004</v>
      </c>
      <c r="H102">
        <v>15048</v>
      </c>
      <c r="I102">
        <v>3798.42</v>
      </c>
    </row>
    <row r="103" spans="1:9" x14ac:dyDescent="0.3">
      <c r="A103" s="1">
        <v>45350</v>
      </c>
      <c r="B103" t="s">
        <v>19</v>
      </c>
      <c r="C103" t="s">
        <v>21</v>
      </c>
      <c r="D103" t="s">
        <v>11</v>
      </c>
      <c r="E103">
        <v>2</v>
      </c>
      <c r="F103">
        <v>1545</v>
      </c>
      <c r="G103">
        <v>1091.3699999999999</v>
      </c>
      <c r="H103">
        <v>3090</v>
      </c>
      <c r="I103">
        <v>907.26</v>
      </c>
    </row>
    <row r="104" spans="1:9" x14ac:dyDescent="0.3">
      <c r="A104" s="1">
        <v>45322</v>
      </c>
      <c r="B104" t="s">
        <v>17</v>
      </c>
      <c r="C104" t="s">
        <v>21</v>
      </c>
      <c r="D104" t="s">
        <v>18</v>
      </c>
      <c r="E104">
        <v>37</v>
      </c>
      <c r="F104">
        <v>1012</v>
      </c>
      <c r="G104">
        <v>606.69000000000005</v>
      </c>
      <c r="H104">
        <v>37444</v>
      </c>
      <c r="I104">
        <v>14996.64</v>
      </c>
    </row>
    <row r="105" spans="1:9" x14ac:dyDescent="0.3">
      <c r="A105" s="1">
        <v>45322</v>
      </c>
      <c r="B105" t="s">
        <v>12</v>
      </c>
      <c r="C105" t="s">
        <v>13</v>
      </c>
      <c r="D105" t="s">
        <v>14</v>
      </c>
      <c r="E105">
        <v>21</v>
      </c>
      <c r="F105">
        <v>986</v>
      </c>
      <c r="G105">
        <v>610.08000000000004</v>
      </c>
      <c r="H105">
        <v>20706</v>
      </c>
      <c r="I105">
        <v>7894.28</v>
      </c>
    </row>
    <row r="106" spans="1:9" x14ac:dyDescent="0.3">
      <c r="A106" s="1">
        <v>45300</v>
      </c>
      <c r="B106" t="s">
        <v>19</v>
      </c>
      <c r="C106" t="s">
        <v>10</v>
      </c>
      <c r="D106" t="s">
        <v>11</v>
      </c>
      <c r="E106">
        <v>27</v>
      </c>
      <c r="F106">
        <v>1913</v>
      </c>
      <c r="G106">
        <v>1377.73</v>
      </c>
      <c r="H106">
        <v>51651</v>
      </c>
      <c r="I106">
        <v>14452.38</v>
      </c>
    </row>
    <row r="107" spans="1:9" x14ac:dyDescent="0.3">
      <c r="A107" s="1">
        <v>45300</v>
      </c>
      <c r="B107" t="s">
        <v>9</v>
      </c>
      <c r="C107" t="s">
        <v>13</v>
      </c>
      <c r="D107" t="s">
        <v>11</v>
      </c>
      <c r="E107">
        <v>42</v>
      </c>
      <c r="F107">
        <v>1375</v>
      </c>
      <c r="G107">
        <v>709.51</v>
      </c>
      <c r="H107">
        <v>57750</v>
      </c>
      <c r="I107">
        <v>27950.61</v>
      </c>
    </row>
    <row r="108" spans="1:9" x14ac:dyDescent="0.3">
      <c r="A108" s="1">
        <v>45318</v>
      </c>
      <c r="B108" t="s">
        <v>15</v>
      </c>
      <c r="C108" t="s">
        <v>21</v>
      </c>
      <c r="D108" t="s">
        <v>14</v>
      </c>
      <c r="E108">
        <v>38</v>
      </c>
      <c r="F108">
        <v>1187</v>
      </c>
      <c r="G108">
        <v>694.32</v>
      </c>
      <c r="H108">
        <v>45106</v>
      </c>
      <c r="I108">
        <v>18721.88</v>
      </c>
    </row>
    <row r="109" spans="1:9" x14ac:dyDescent="0.3">
      <c r="A109" s="1">
        <v>45349</v>
      </c>
      <c r="B109" t="s">
        <v>17</v>
      </c>
      <c r="C109" t="s">
        <v>10</v>
      </c>
      <c r="D109" t="s">
        <v>16</v>
      </c>
      <c r="E109">
        <v>15</v>
      </c>
      <c r="F109">
        <v>1098</v>
      </c>
      <c r="G109">
        <v>579.19000000000005</v>
      </c>
      <c r="H109">
        <v>16470</v>
      </c>
      <c r="I109">
        <v>7782.2</v>
      </c>
    </row>
    <row r="110" spans="1:9" x14ac:dyDescent="0.3">
      <c r="A110" s="1">
        <v>45309</v>
      </c>
      <c r="B110" t="s">
        <v>9</v>
      </c>
      <c r="C110" t="s">
        <v>13</v>
      </c>
      <c r="D110" t="s">
        <v>18</v>
      </c>
      <c r="E110">
        <v>49</v>
      </c>
      <c r="F110">
        <v>293</v>
      </c>
      <c r="G110">
        <v>223.97</v>
      </c>
      <c r="H110">
        <v>14357</v>
      </c>
      <c r="I110">
        <v>3382.4</v>
      </c>
    </row>
    <row r="111" spans="1:9" x14ac:dyDescent="0.3">
      <c r="A111" s="1">
        <v>45322</v>
      </c>
      <c r="B111" t="s">
        <v>9</v>
      </c>
      <c r="C111" t="s">
        <v>20</v>
      </c>
      <c r="D111" t="s">
        <v>18</v>
      </c>
      <c r="E111">
        <v>33</v>
      </c>
      <c r="F111">
        <v>1258</v>
      </c>
      <c r="G111">
        <v>649.04999999999995</v>
      </c>
      <c r="H111">
        <v>41514</v>
      </c>
      <c r="I111">
        <v>20095.28</v>
      </c>
    </row>
    <row r="112" spans="1:9" x14ac:dyDescent="0.3">
      <c r="A112" s="1">
        <v>45305</v>
      </c>
      <c r="B112" t="s">
        <v>9</v>
      </c>
      <c r="C112" t="s">
        <v>21</v>
      </c>
      <c r="D112" t="s">
        <v>22</v>
      </c>
      <c r="E112">
        <v>34</v>
      </c>
      <c r="F112">
        <v>365</v>
      </c>
      <c r="G112">
        <v>207.9</v>
      </c>
      <c r="H112">
        <v>12410</v>
      </c>
      <c r="I112">
        <v>5341.23</v>
      </c>
    </row>
    <row r="113" spans="1:9" x14ac:dyDescent="0.3">
      <c r="A113" s="1">
        <v>45303</v>
      </c>
      <c r="B113" t="s">
        <v>19</v>
      </c>
      <c r="C113" t="s">
        <v>21</v>
      </c>
      <c r="D113" t="s">
        <v>18</v>
      </c>
      <c r="E113">
        <v>29</v>
      </c>
      <c r="F113">
        <v>1090</v>
      </c>
      <c r="G113">
        <v>749.87</v>
      </c>
      <c r="H113">
        <v>31610</v>
      </c>
      <c r="I113">
        <v>9863.7099999999991</v>
      </c>
    </row>
    <row r="114" spans="1:9" x14ac:dyDescent="0.3">
      <c r="A114" s="1">
        <v>45332</v>
      </c>
      <c r="B114" t="s">
        <v>15</v>
      </c>
      <c r="C114" t="s">
        <v>21</v>
      </c>
      <c r="D114" t="s">
        <v>16</v>
      </c>
      <c r="E114">
        <v>46</v>
      </c>
      <c r="F114">
        <v>193</v>
      </c>
      <c r="G114">
        <v>108.36</v>
      </c>
      <c r="H114">
        <v>8878</v>
      </c>
      <c r="I114">
        <v>3893.4</v>
      </c>
    </row>
    <row r="115" spans="1:9" x14ac:dyDescent="0.3">
      <c r="A115" s="1">
        <v>45345</v>
      </c>
      <c r="B115" t="s">
        <v>9</v>
      </c>
      <c r="C115" t="s">
        <v>13</v>
      </c>
      <c r="D115" t="s">
        <v>14</v>
      </c>
      <c r="E115">
        <v>43</v>
      </c>
      <c r="F115">
        <v>718</v>
      </c>
      <c r="G115">
        <v>421.01</v>
      </c>
      <c r="H115">
        <v>30874</v>
      </c>
      <c r="I115">
        <v>12770.56</v>
      </c>
    </row>
    <row r="116" spans="1:9" x14ac:dyDescent="0.3">
      <c r="A116" s="1">
        <v>45350</v>
      </c>
      <c r="B116" t="s">
        <v>15</v>
      </c>
      <c r="C116" t="s">
        <v>20</v>
      </c>
      <c r="D116" t="s">
        <v>16</v>
      </c>
      <c r="E116">
        <v>3</v>
      </c>
      <c r="F116">
        <v>1466</v>
      </c>
      <c r="G116">
        <v>940.65</v>
      </c>
      <c r="H116">
        <v>4398</v>
      </c>
      <c r="I116">
        <v>1576.05</v>
      </c>
    </row>
    <row r="117" spans="1:9" x14ac:dyDescent="0.3">
      <c r="A117" s="1">
        <v>45295</v>
      </c>
      <c r="B117" t="s">
        <v>9</v>
      </c>
      <c r="C117" t="s">
        <v>13</v>
      </c>
      <c r="D117" t="s">
        <v>11</v>
      </c>
      <c r="E117">
        <v>27</v>
      </c>
      <c r="F117">
        <v>1611</v>
      </c>
      <c r="G117">
        <v>930.1</v>
      </c>
      <c r="H117">
        <v>43497</v>
      </c>
      <c r="I117">
        <v>18384.189999999999</v>
      </c>
    </row>
    <row r="118" spans="1:9" x14ac:dyDescent="0.3">
      <c r="A118" s="1">
        <v>45328</v>
      </c>
      <c r="B118" t="s">
        <v>17</v>
      </c>
      <c r="C118" t="s">
        <v>21</v>
      </c>
      <c r="D118" t="s">
        <v>16</v>
      </c>
      <c r="E118">
        <v>13</v>
      </c>
      <c r="F118">
        <v>217</v>
      </c>
      <c r="G118">
        <v>137.08000000000001</v>
      </c>
      <c r="H118">
        <v>2821</v>
      </c>
      <c r="I118">
        <v>1038.9000000000001</v>
      </c>
    </row>
    <row r="119" spans="1:9" x14ac:dyDescent="0.3">
      <c r="A119" s="1">
        <v>45339</v>
      </c>
      <c r="B119" t="s">
        <v>12</v>
      </c>
      <c r="C119" t="s">
        <v>20</v>
      </c>
      <c r="D119" t="s">
        <v>14</v>
      </c>
      <c r="E119">
        <v>39</v>
      </c>
      <c r="F119">
        <v>532</v>
      </c>
      <c r="G119">
        <v>367.82</v>
      </c>
      <c r="H119">
        <v>20748</v>
      </c>
      <c r="I119">
        <v>6403.14</v>
      </c>
    </row>
    <row r="120" spans="1:9" x14ac:dyDescent="0.3">
      <c r="A120" s="1">
        <v>45324</v>
      </c>
      <c r="B120" t="s">
        <v>9</v>
      </c>
      <c r="C120" t="s">
        <v>21</v>
      </c>
      <c r="D120" t="s">
        <v>11</v>
      </c>
      <c r="E120">
        <v>12</v>
      </c>
      <c r="F120">
        <v>648</v>
      </c>
      <c r="G120">
        <v>425.46</v>
      </c>
      <c r="H120">
        <v>7776</v>
      </c>
      <c r="I120">
        <v>2670.5</v>
      </c>
    </row>
    <row r="121" spans="1:9" x14ac:dyDescent="0.3">
      <c r="A121" s="1">
        <v>45339</v>
      </c>
      <c r="B121" t="s">
        <v>15</v>
      </c>
      <c r="C121" t="s">
        <v>20</v>
      </c>
      <c r="D121" t="s">
        <v>16</v>
      </c>
      <c r="E121">
        <v>46</v>
      </c>
      <c r="F121">
        <v>618</v>
      </c>
      <c r="G121">
        <v>369.79</v>
      </c>
      <c r="H121">
        <v>28428</v>
      </c>
      <c r="I121">
        <v>11417.73</v>
      </c>
    </row>
    <row r="122" spans="1:9" x14ac:dyDescent="0.3">
      <c r="A122" s="1">
        <v>45326</v>
      </c>
      <c r="B122" t="s">
        <v>15</v>
      </c>
      <c r="C122" t="s">
        <v>10</v>
      </c>
      <c r="D122" t="s">
        <v>16</v>
      </c>
      <c r="E122">
        <v>48</v>
      </c>
      <c r="F122">
        <v>872</v>
      </c>
      <c r="G122">
        <v>653.65</v>
      </c>
      <c r="H122">
        <v>41856</v>
      </c>
      <c r="I122">
        <v>10481</v>
      </c>
    </row>
    <row r="123" spans="1:9" x14ac:dyDescent="0.3">
      <c r="A123" s="1">
        <v>45331</v>
      </c>
      <c r="B123" t="s">
        <v>9</v>
      </c>
      <c r="C123" t="s">
        <v>20</v>
      </c>
      <c r="D123" t="s">
        <v>16</v>
      </c>
      <c r="E123">
        <v>46</v>
      </c>
      <c r="F123">
        <v>1354</v>
      </c>
      <c r="G123">
        <v>976.61</v>
      </c>
      <c r="H123">
        <v>62284</v>
      </c>
      <c r="I123">
        <v>17360.07</v>
      </c>
    </row>
    <row r="124" spans="1:9" x14ac:dyDescent="0.3">
      <c r="A124" s="1">
        <v>45322</v>
      </c>
      <c r="B124" t="s">
        <v>17</v>
      </c>
      <c r="C124" t="s">
        <v>13</v>
      </c>
      <c r="D124" t="s">
        <v>16</v>
      </c>
      <c r="E124">
        <v>36</v>
      </c>
      <c r="F124">
        <v>1807</v>
      </c>
      <c r="G124">
        <v>1376.8</v>
      </c>
      <c r="H124">
        <v>65052</v>
      </c>
      <c r="I124">
        <v>15487.16</v>
      </c>
    </row>
    <row r="125" spans="1:9" x14ac:dyDescent="0.3">
      <c r="A125" s="1">
        <v>45330</v>
      </c>
      <c r="B125" t="s">
        <v>19</v>
      </c>
      <c r="C125" t="s">
        <v>10</v>
      </c>
      <c r="D125" t="s">
        <v>22</v>
      </c>
      <c r="E125">
        <v>40</v>
      </c>
      <c r="F125">
        <v>1939</v>
      </c>
      <c r="G125">
        <v>1492.84</v>
      </c>
      <c r="H125">
        <v>77560</v>
      </c>
      <c r="I125">
        <v>17846.27</v>
      </c>
    </row>
    <row r="126" spans="1:9" x14ac:dyDescent="0.3">
      <c r="A126" s="1">
        <v>45335</v>
      </c>
      <c r="B126" t="s">
        <v>9</v>
      </c>
      <c r="C126" t="s">
        <v>10</v>
      </c>
      <c r="D126" t="s">
        <v>22</v>
      </c>
      <c r="E126">
        <v>38</v>
      </c>
      <c r="F126">
        <v>262</v>
      </c>
      <c r="G126">
        <v>134.25</v>
      </c>
      <c r="H126">
        <v>9956</v>
      </c>
      <c r="I126">
        <v>4854.68</v>
      </c>
    </row>
    <row r="127" spans="1:9" x14ac:dyDescent="0.3">
      <c r="A127" s="1">
        <v>45292</v>
      </c>
      <c r="B127" t="s">
        <v>9</v>
      </c>
      <c r="C127" t="s">
        <v>13</v>
      </c>
      <c r="D127" t="s">
        <v>16</v>
      </c>
      <c r="E127">
        <v>17</v>
      </c>
      <c r="F127">
        <v>627</v>
      </c>
      <c r="G127">
        <v>470.01</v>
      </c>
      <c r="H127">
        <v>10659</v>
      </c>
      <c r="I127">
        <v>2668.76</v>
      </c>
    </row>
    <row r="128" spans="1:9" x14ac:dyDescent="0.3">
      <c r="A128" s="1">
        <v>45299</v>
      </c>
      <c r="B128" t="s">
        <v>19</v>
      </c>
      <c r="C128" t="s">
        <v>20</v>
      </c>
      <c r="D128" t="s">
        <v>18</v>
      </c>
      <c r="E128">
        <v>3</v>
      </c>
      <c r="F128">
        <v>1870</v>
      </c>
      <c r="G128">
        <v>938.44</v>
      </c>
      <c r="H128">
        <v>5610</v>
      </c>
      <c r="I128">
        <v>2794.67</v>
      </c>
    </row>
    <row r="129" spans="1:9" x14ac:dyDescent="0.3">
      <c r="A129" s="1">
        <v>45314</v>
      </c>
      <c r="B129" t="s">
        <v>17</v>
      </c>
      <c r="C129" t="s">
        <v>21</v>
      </c>
      <c r="D129" t="s">
        <v>16</v>
      </c>
      <c r="E129">
        <v>41</v>
      </c>
      <c r="F129">
        <v>1917</v>
      </c>
      <c r="G129">
        <v>1456.69</v>
      </c>
      <c r="H129">
        <v>78597</v>
      </c>
      <c r="I129">
        <v>18872.560000000001</v>
      </c>
    </row>
    <row r="130" spans="1:9" x14ac:dyDescent="0.3">
      <c r="A130" s="1">
        <v>45327</v>
      </c>
      <c r="B130" t="s">
        <v>12</v>
      </c>
      <c r="C130" t="s">
        <v>20</v>
      </c>
      <c r="D130" t="s">
        <v>14</v>
      </c>
      <c r="E130">
        <v>43</v>
      </c>
      <c r="F130">
        <v>340</v>
      </c>
      <c r="G130">
        <v>186.04</v>
      </c>
      <c r="H130">
        <v>14620</v>
      </c>
      <c r="I130">
        <v>6620.41</v>
      </c>
    </row>
    <row r="131" spans="1:9" x14ac:dyDescent="0.3">
      <c r="A131" s="1">
        <v>45302</v>
      </c>
      <c r="B131" t="s">
        <v>9</v>
      </c>
      <c r="C131" t="s">
        <v>20</v>
      </c>
      <c r="D131" t="s">
        <v>14</v>
      </c>
      <c r="E131">
        <v>42</v>
      </c>
      <c r="F131">
        <v>711</v>
      </c>
      <c r="G131">
        <v>551.27</v>
      </c>
      <c r="H131">
        <v>29862</v>
      </c>
      <c r="I131">
        <v>6708.48</v>
      </c>
    </row>
    <row r="132" spans="1:9" x14ac:dyDescent="0.3">
      <c r="A132" s="1">
        <v>45314</v>
      </c>
      <c r="B132" t="s">
        <v>9</v>
      </c>
      <c r="C132" t="s">
        <v>13</v>
      </c>
      <c r="D132" t="s">
        <v>14</v>
      </c>
      <c r="E132">
        <v>42</v>
      </c>
      <c r="F132">
        <v>1765</v>
      </c>
      <c r="G132">
        <v>1048.67</v>
      </c>
      <c r="H132">
        <v>74130</v>
      </c>
      <c r="I132">
        <v>30085.83</v>
      </c>
    </row>
    <row r="133" spans="1:9" x14ac:dyDescent="0.3">
      <c r="A133" s="1">
        <v>45305</v>
      </c>
      <c r="B133" t="s">
        <v>12</v>
      </c>
      <c r="C133" t="s">
        <v>10</v>
      </c>
      <c r="D133" t="s">
        <v>22</v>
      </c>
      <c r="E133">
        <v>40</v>
      </c>
      <c r="F133">
        <v>1563</v>
      </c>
      <c r="G133">
        <v>961.39</v>
      </c>
      <c r="H133">
        <v>62520</v>
      </c>
      <c r="I133">
        <v>24064.46</v>
      </c>
    </row>
    <row r="134" spans="1:9" x14ac:dyDescent="0.3">
      <c r="A134" s="1">
        <v>45333</v>
      </c>
      <c r="B134" t="s">
        <v>17</v>
      </c>
      <c r="C134" t="s">
        <v>10</v>
      </c>
      <c r="D134" t="s">
        <v>11</v>
      </c>
      <c r="E134">
        <v>9</v>
      </c>
      <c r="F134">
        <v>1273</v>
      </c>
      <c r="G134">
        <v>881.36</v>
      </c>
      <c r="H134">
        <v>11457</v>
      </c>
      <c r="I134">
        <v>3524.78</v>
      </c>
    </row>
    <row r="135" spans="1:9" x14ac:dyDescent="0.3">
      <c r="A135" s="1">
        <v>45351</v>
      </c>
      <c r="B135" t="s">
        <v>12</v>
      </c>
      <c r="C135" t="s">
        <v>13</v>
      </c>
      <c r="D135" t="s">
        <v>14</v>
      </c>
      <c r="E135">
        <v>25</v>
      </c>
      <c r="F135">
        <v>1297</v>
      </c>
      <c r="G135">
        <v>690.25</v>
      </c>
      <c r="H135">
        <v>32425</v>
      </c>
      <c r="I135">
        <v>15168.78</v>
      </c>
    </row>
    <row r="136" spans="1:9" x14ac:dyDescent="0.3">
      <c r="A136" s="1">
        <v>45352</v>
      </c>
      <c r="B136" t="s">
        <v>15</v>
      </c>
      <c r="C136" t="s">
        <v>20</v>
      </c>
      <c r="D136" t="s">
        <v>22</v>
      </c>
      <c r="E136">
        <v>13</v>
      </c>
      <c r="F136">
        <v>1748</v>
      </c>
      <c r="G136">
        <v>909.4</v>
      </c>
      <c r="H136">
        <v>22724</v>
      </c>
      <c r="I136">
        <v>10901.86</v>
      </c>
    </row>
    <row r="137" spans="1:9" x14ac:dyDescent="0.3">
      <c r="A137" s="1">
        <v>45312</v>
      </c>
      <c r="B137" t="s">
        <v>9</v>
      </c>
      <c r="C137" t="s">
        <v>21</v>
      </c>
      <c r="D137" t="s">
        <v>22</v>
      </c>
      <c r="E137">
        <v>15</v>
      </c>
      <c r="F137">
        <v>1646</v>
      </c>
      <c r="G137">
        <v>1043.29</v>
      </c>
      <c r="H137">
        <v>24690</v>
      </c>
      <c r="I137">
        <v>9040.7199999999993</v>
      </c>
    </row>
    <row r="138" spans="1:9" x14ac:dyDescent="0.3">
      <c r="A138" s="1">
        <v>45310</v>
      </c>
      <c r="B138" t="s">
        <v>15</v>
      </c>
      <c r="C138" t="s">
        <v>10</v>
      </c>
      <c r="D138" t="s">
        <v>16</v>
      </c>
      <c r="E138">
        <v>27</v>
      </c>
      <c r="F138">
        <v>1219</v>
      </c>
      <c r="G138">
        <v>858.41</v>
      </c>
      <c r="H138">
        <v>32913</v>
      </c>
      <c r="I138">
        <v>9735.81</v>
      </c>
    </row>
    <row r="139" spans="1:9" x14ac:dyDescent="0.3">
      <c r="A139" s="1">
        <v>45296</v>
      </c>
      <c r="B139" t="s">
        <v>12</v>
      </c>
      <c r="C139" t="s">
        <v>20</v>
      </c>
      <c r="D139" t="s">
        <v>22</v>
      </c>
      <c r="E139">
        <v>39</v>
      </c>
      <c r="F139">
        <v>1401</v>
      </c>
      <c r="G139">
        <v>1064.28</v>
      </c>
      <c r="H139">
        <v>54639</v>
      </c>
      <c r="I139">
        <v>13131.97</v>
      </c>
    </row>
    <row r="140" spans="1:9" x14ac:dyDescent="0.3">
      <c r="A140" s="1">
        <v>45352</v>
      </c>
      <c r="B140" t="s">
        <v>12</v>
      </c>
      <c r="C140" t="s">
        <v>21</v>
      </c>
      <c r="D140" t="s">
        <v>22</v>
      </c>
      <c r="E140">
        <v>30</v>
      </c>
      <c r="F140">
        <v>516</v>
      </c>
      <c r="G140">
        <v>280.88</v>
      </c>
      <c r="H140">
        <v>15480</v>
      </c>
      <c r="I140">
        <v>7053.73</v>
      </c>
    </row>
    <row r="141" spans="1:9" x14ac:dyDescent="0.3">
      <c r="A141" s="1">
        <v>45309</v>
      </c>
      <c r="B141" t="s">
        <v>9</v>
      </c>
      <c r="C141" t="s">
        <v>10</v>
      </c>
      <c r="D141" t="s">
        <v>18</v>
      </c>
      <c r="E141">
        <v>39</v>
      </c>
      <c r="F141">
        <v>1987</v>
      </c>
      <c r="G141">
        <v>1251.8800000000001</v>
      </c>
      <c r="H141">
        <v>77493</v>
      </c>
      <c r="I141">
        <v>28669.77</v>
      </c>
    </row>
    <row r="142" spans="1:9" x14ac:dyDescent="0.3">
      <c r="A142" s="1">
        <v>45341</v>
      </c>
      <c r="B142" t="s">
        <v>12</v>
      </c>
      <c r="C142" t="s">
        <v>21</v>
      </c>
      <c r="D142" t="s">
        <v>11</v>
      </c>
      <c r="E142">
        <v>11</v>
      </c>
      <c r="F142">
        <v>1530</v>
      </c>
      <c r="G142">
        <v>972.41</v>
      </c>
      <c r="H142">
        <v>16830</v>
      </c>
      <c r="I142">
        <v>6133.51</v>
      </c>
    </row>
    <row r="143" spans="1:9" x14ac:dyDescent="0.3">
      <c r="A143" s="1">
        <v>45303</v>
      </c>
      <c r="B143" t="s">
        <v>12</v>
      </c>
      <c r="C143" t="s">
        <v>10</v>
      </c>
      <c r="D143" t="s">
        <v>22</v>
      </c>
      <c r="E143">
        <v>21</v>
      </c>
      <c r="F143">
        <v>1530</v>
      </c>
      <c r="G143">
        <v>1195.18</v>
      </c>
      <c r="H143">
        <v>32130</v>
      </c>
      <c r="I143">
        <v>7031.12</v>
      </c>
    </row>
    <row r="144" spans="1:9" x14ac:dyDescent="0.3">
      <c r="A144" s="1">
        <v>45341</v>
      </c>
      <c r="B144" t="s">
        <v>15</v>
      </c>
      <c r="C144" t="s">
        <v>13</v>
      </c>
      <c r="D144" t="s">
        <v>11</v>
      </c>
      <c r="E144">
        <v>33</v>
      </c>
      <c r="F144">
        <v>876</v>
      </c>
      <c r="G144">
        <v>528.19000000000005</v>
      </c>
      <c r="H144">
        <v>28908</v>
      </c>
      <c r="I144">
        <v>11477.72</v>
      </c>
    </row>
    <row r="145" spans="1:9" x14ac:dyDescent="0.3">
      <c r="A145" s="1">
        <v>45345</v>
      </c>
      <c r="B145" t="s">
        <v>9</v>
      </c>
      <c r="C145" t="s">
        <v>10</v>
      </c>
      <c r="D145" t="s">
        <v>14</v>
      </c>
      <c r="E145">
        <v>30</v>
      </c>
      <c r="F145">
        <v>809</v>
      </c>
      <c r="G145">
        <v>535.6</v>
      </c>
      <c r="H145">
        <v>24270</v>
      </c>
      <c r="I145">
        <v>8201.86</v>
      </c>
    </row>
    <row r="146" spans="1:9" x14ac:dyDescent="0.3">
      <c r="A146" s="1">
        <v>45317</v>
      </c>
      <c r="B146" t="s">
        <v>12</v>
      </c>
      <c r="C146" t="s">
        <v>13</v>
      </c>
      <c r="D146" t="s">
        <v>14</v>
      </c>
      <c r="E146">
        <v>11</v>
      </c>
      <c r="F146">
        <v>588</v>
      </c>
      <c r="G146">
        <v>426.75</v>
      </c>
      <c r="H146">
        <v>6468</v>
      </c>
      <c r="I146">
        <v>1773.73</v>
      </c>
    </row>
    <row r="147" spans="1:9" x14ac:dyDescent="0.3">
      <c r="A147" s="1">
        <v>45328</v>
      </c>
      <c r="B147" t="s">
        <v>12</v>
      </c>
      <c r="C147" t="s">
        <v>13</v>
      </c>
      <c r="D147" t="s">
        <v>11</v>
      </c>
      <c r="E147">
        <v>1</v>
      </c>
      <c r="F147">
        <v>266</v>
      </c>
      <c r="G147">
        <v>143.59</v>
      </c>
      <c r="H147">
        <v>266</v>
      </c>
      <c r="I147">
        <v>122.41</v>
      </c>
    </row>
    <row r="148" spans="1:9" x14ac:dyDescent="0.3">
      <c r="A148" s="1">
        <v>45343</v>
      </c>
      <c r="B148" t="s">
        <v>12</v>
      </c>
      <c r="C148" t="s">
        <v>21</v>
      </c>
      <c r="D148" t="s">
        <v>11</v>
      </c>
      <c r="E148">
        <v>26</v>
      </c>
      <c r="F148">
        <v>761</v>
      </c>
      <c r="G148">
        <v>570.61</v>
      </c>
      <c r="H148">
        <v>19786</v>
      </c>
      <c r="I148">
        <v>4950.17</v>
      </c>
    </row>
    <row r="149" spans="1:9" x14ac:dyDescent="0.3">
      <c r="A149" s="1">
        <v>45352</v>
      </c>
      <c r="B149" t="s">
        <v>19</v>
      </c>
      <c r="C149" t="s">
        <v>20</v>
      </c>
      <c r="D149" t="s">
        <v>11</v>
      </c>
      <c r="E149">
        <v>2</v>
      </c>
      <c r="F149">
        <v>424</v>
      </c>
      <c r="G149">
        <v>313.45</v>
      </c>
      <c r="H149">
        <v>848</v>
      </c>
      <c r="I149">
        <v>221.1</v>
      </c>
    </row>
    <row r="150" spans="1:9" x14ac:dyDescent="0.3">
      <c r="A150" s="1">
        <v>45295</v>
      </c>
      <c r="B150" t="s">
        <v>15</v>
      </c>
      <c r="C150" t="s">
        <v>21</v>
      </c>
      <c r="D150" t="s">
        <v>14</v>
      </c>
      <c r="E150">
        <v>5</v>
      </c>
      <c r="F150">
        <v>1832</v>
      </c>
      <c r="G150">
        <v>1170.8399999999999</v>
      </c>
      <c r="H150">
        <v>9160</v>
      </c>
      <c r="I150">
        <v>3305.81</v>
      </c>
    </row>
    <row r="151" spans="1:9" x14ac:dyDescent="0.3">
      <c r="A151" s="1">
        <v>45350</v>
      </c>
      <c r="B151" t="s">
        <v>19</v>
      </c>
      <c r="C151" t="s">
        <v>13</v>
      </c>
      <c r="D151" t="s">
        <v>18</v>
      </c>
      <c r="E151">
        <v>15</v>
      </c>
      <c r="F151">
        <v>1526</v>
      </c>
      <c r="G151">
        <v>938.49</v>
      </c>
      <c r="H151">
        <v>22890</v>
      </c>
      <c r="I151">
        <v>8812.68</v>
      </c>
    </row>
    <row r="152" spans="1:9" x14ac:dyDescent="0.3">
      <c r="A152" s="1">
        <v>45345</v>
      </c>
      <c r="B152" t="s">
        <v>15</v>
      </c>
      <c r="C152" t="s">
        <v>10</v>
      </c>
      <c r="D152" t="s">
        <v>22</v>
      </c>
      <c r="E152">
        <v>26</v>
      </c>
      <c r="F152">
        <v>1463</v>
      </c>
      <c r="G152">
        <v>1104.95</v>
      </c>
      <c r="H152">
        <v>38038</v>
      </c>
      <c r="I152">
        <v>9309.33</v>
      </c>
    </row>
    <row r="153" spans="1:9" x14ac:dyDescent="0.3">
      <c r="A153" s="1">
        <v>45324</v>
      </c>
      <c r="B153" t="s">
        <v>12</v>
      </c>
      <c r="C153" t="s">
        <v>13</v>
      </c>
      <c r="D153" t="s">
        <v>18</v>
      </c>
      <c r="E153">
        <v>7</v>
      </c>
      <c r="F153">
        <v>1537</v>
      </c>
      <c r="G153">
        <v>1192.6600000000001</v>
      </c>
      <c r="H153">
        <v>10759</v>
      </c>
      <c r="I153">
        <v>2410.39</v>
      </c>
    </row>
    <row r="154" spans="1:9" x14ac:dyDescent="0.3">
      <c r="A154" s="1">
        <v>45304</v>
      </c>
      <c r="B154" t="s">
        <v>9</v>
      </c>
      <c r="C154" t="s">
        <v>13</v>
      </c>
      <c r="D154" t="s">
        <v>16</v>
      </c>
      <c r="E154">
        <v>29</v>
      </c>
      <c r="F154">
        <v>216</v>
      </c>
      <c r="G154">
        <v>170.59</v>
      </c>
      <c r="H154">
        <v>6264</v>
      </c>
      <c r="I154">
        <v>1316.94</v>
      </c>
    </row>
    <row r="155" spans="1:9" x14ac:dyDescent="0.3">
      <c r="A155" s="1">
        <v>45315</v>
      </c>
      <c r="B155" t="s">
        <v>9</v>
      </c>
      <c r="C155" t="s">
        <v>20</v>
      </c>
      <c r="D155" t="s">
        <v>11</v>
      </c>
      <c r="E155">
        <v>4</v>
      </c>
      <c r="F155">
        <v>1126</v>
      </c>
      <c r="G155">
        <v>610.17999999999995</v>
      </c>
      <c r="H155">
        <v>4504</v>
      </c>
      <c r="I155">
        <v>2063.27</v>
      </c>
    </row>
    <row r="156" spans="1:9" x14ac:dyDescent="0.3">
      <c r="A156" s="1">
        <v>45292</v>
      </c>
      <c r="B156" t="s">
        <v>17</v>
      </c>
      <c r="C156" t="s">
        <v>21</v>
      </c>
      <c r="D156" t="s">
        <v>16</v>
      </c>
      <c r="E156">
        <v>6</v>
      </c>
      <c r="F156">
        <v>491</v>
      </c>
      <c r="G156">
        <v>335.94</v>
      </c>
      <c r="H156">
        <v>2946</v>
      </c>
      <c r="I156">
        <v>930.36</v>
      </c>
    </row>
    <row r="157" spans="1:9" x14ac:dyDescent="0.3">
      <c r="A157" s="1">
        <v>45340</v>
      </c>
      <c r="B157" t="s">
        <v>19</v>
      </c>
      <c r="C157" t="s">
        <v>20</v>
      </c>
      <c r="D157" t="s">
        <v>16</v>
      </c>
      <c r="E157">
        <v>45</v>
      </c>
      <c r="F157">
        <v>856</v>
      </c>
      <c r="G157">
        <v>605.65</v>
      </c>
      <c r="H157">
        <v>38520</v>
      </c>
      <c r="I157">
        <v>11265.8</v>
      </c>
    </row>
    <row r="158" spans="1:9" x14ac:dyDescent="0.3">
      <c r="A158" s="1">
        <v>45336</v>
      </c>
      <c r="B158" t="s">
        <v>17</v>
      </c>
      <c r="C158" t="s">
        <v>10</v>
      </c>
      <c r="D158" t="s">
        <v>14</v>
      </c>
      <c r="E158">
        <v>48</v>
      </c>
      <c r="F158">
        <v>665</v>
      </c>
      <c r="G158">
        <v>528.46</v>
      </c>
      <c r="H158">
        <v>31920</v>
      </c>
      <c r="I158">
        <v>6553.86</v>
      </c>
    </row>
    <row r="159" spans="1:9" x14ac:dyDescent="0.3">
      <c r="A159" s="1">
        <v>45319</v>
      </c>
      <c r="B159" t="s">
        <v>12</v>
      </c>
      <c r="C159" t="s">
        <v>20</v>
      </c>
      <c r="D159" t="s">
        <v>16</v>
      </c>
      <c r="E159">
        <v>30</v>
      </c>
      <c r="F159">
        <v>1509</v>
      </c>
      <c r="G159">
        <v>1033.82</v>
      </c>
      <c r="H159">
        <v>45270</v>
      </c>
      <c r="I159">
        <v>14255.42</v>
      </c>
    </row>
    <row r="160" spans="1:9" x14ac:dyDescent="0.3">
      <c r="A160" s="1">
        <v>45301</v>
      </c>
      <c r="B160" t="s">
        <v>12</v>
      </c>
      <c r="C160" t="s">
        <v>10</v>
      </c>
      <c r="D160" t="s">
        <v>14</v>
      </c>
      <c r="E160">
        <v>17</v>
      </c>
      <c r="F160">
        <v>621</v>
      </c>
      <c r="G160">
        <v>345.18</v>
      </c>
      <c r="H160">
        <v>10557</v>
      </c>
      <c r="I160">
        <v>4689.01</v>
      </c>
    </row>
    <row r="161" spans="1:9" x14ac:dyDescent="0.3">
      <c r="A161" s="1">
        <v>45322</v>
      </c>
      <c r="B161" t="s">
        <v>17</v>
      </c>
      <c r="C161" t="s">
        <v>21</v>
      </c>
      <c r="D161" t="s">
        <v>16</v>
      </c>
      <c r="E161">
        <v>22</v>
      </c>
      <c r="F161">
        <v>413</v>
      </c>
      <c r="G161">
        <v>280.11</v>
      </c>
      <c r="H161">
        <v>9086</v>
      </c>
      <c r="I161">
        <v>2923.54</v>
      </c>
    </row>
    <row r="162" spans="1:9" x14ac:dyDescent="0.3">
      <c r="A162" s="1">
        <v>45300</v>
      </c>
      <c r="B162" t="s">
        <v>12</v>
      </c>
      <c r="C162" t="s">
        <v>10</v>
      </c>
      <c r="D162" t="s">
        <v>18</v>
      </c>
      <c r="E162">
        <v>26</v>
      </c>
      <c r="F162">
        <v>1076</v>
      </c>
      <c r="G162">
        <v>720.96</v>
      </c>
      <c r="H162">
        <v>27976</v>
      </c>
      <c r="I162">
        <v>9231.16</v>
      </c>
    </row>
    <row r="163" spans="1:9" x14ac:dyDescent="0.3">
      <c r="A163" s="1">
        <v>45301</v>
      </c>
      <c r="B163" t="s">
        <v>19</v>
      </c>
      <c r="C163" t="s">
        <v>21</v>
      </c>
      <c r="D163" t="s">
        <v>22</v>
      </c>
      <c r="E163">
        <v>28</v>
      </c>
      <c r="F163">
        <v>1302</v>
      </c>
      <c r="G163">
        <v>827.76</v>
      </c>
      <c r="H163">
        <v>36456</v>
      </c>
      <c r="I163">
        <v>13278.71</v>
      </c>
    </row>
    <row r="164" spans="1:9" x14ac:dyDescent="0.3">
      <c r="A164" s="1">
        <v>45349</v>
      </c>
      <c r="B164" t="s">
        <v>15</v>
      </c>
      <c r="C164" t="s">
        <v>13</v>
      </c>
      <c r="D164" t="s">
        <v>14</v>
      </c>
      <c r="E164">
        <v>18</v>
      </c>
      <c r="F164">
        <v>110</v>
      </c>
      <c r="G164">
        <v>84.86</v>
      </c>
      <c r="H164">
        <v>1980</v>
      </c>
      <c r="I164">
        <v>452.43</v>
      </c>
    </row>
    <row r="165" spans="1:9" x14ac:dyDescent="0.3">
      <c r="A165" s="1">
        <v>45318</v>
      </c>
      <c r="B165" t="s">
        <v>15</v>
      </c>
      <c r="C165" t="s">
        <v>10</v>
      </c>
      <c r="D165" t="s">
        <v>16</v>
      </c>
      <c r="E165">
        <v>15</v>
      </c>
      <c r="F165">
        <v>212</v>
      </c>
      <c r="G165">
        <v>126.8</v>
      </c>
      <c r="H165">
        <v>3180</v>
      </c>
      <c r="I165">
        <v>1277.98</v>
      </c>
    </row>
    <row r="166" spans="1:9" x14ac:dyDescent="0.3">
      <c r="A166" s="1">
        <v>45299</v>
      </c>
      <c r="B166" t="s">
        <v>15</v>
      </c>
      <c r="C166" t="s">
        <v>10</v>
      </c>
      <c r="D166" t="s">
        <v>11</v>
      </c>
      <c r="E166">
        <v>22</v>
      </c>
      <c r="F166">
        <v>1176</v>
      </c>
      <c r="G166">
        <v>939.18</v>
      </c>
      <c r="H166">
        <v>25872</v>
      </c>
      <c r="I166">
        <v>5210.09</v>
      </c>
    </row>
    <row r="167" spans="1:9" x14ac:dyDescent="0.3">
      <c r="A167" s="1">
        <v>45330</v>
      </c>
      <c r="B167" t="s">
        <v>17</v>
      </c>
      <c r="C167" t="s">
        <v>13</v>
      </c>
      <c r="D167" t="s">
        <v>18</v>
      </c>
      <c r="E167">
        <v>17</v>
      </c>
      <c r="F167">
        <v>350</v>
      </c>
      <c r="G167">
        <v>182.03</v>
      </c>
      <c r="H167">
        <v>5950</v>
      </c>
      <c r="I167">
        <v>2855.52</v>
      </c>
    </row>
    <row r="168" spans="1:9" x14ac:dyDescent="0.3">
      <c r="A168" s="1">
        <v>45312</v>
      </c>
      <c r="B168" t="s">
        <v>12</v>
      </c>
      <c r="C168" t="s">
        <v>20</v>
      </c>
      <c r="D168" t="s">
        <v>18</v>
      </c>
      <c r="E168">
        <v>41</v>
      </c>
      <c r="F168">
        <v>161</v>
      </c>
      <c r="G168">
        <v>120.85</v>
      </c>
      <c r="H168">
        <v>6601</v>
      </c>
      <c r="I168">
        <v>1646.3</v>
      </c>
    </row>
    <row r="169" spans="1:9" x14ac:dyDescent="0.3">
      <c r="A169" s="1">
        <v>45349</v>
      </c>
      <c r="B169" t="s">
        <v>15</v>
      </c>
      <c r="C169" t="s">
        <v>13</v>
      </c>
      <c r="D169" t="s">
        <v>11</v>
      </c>
      <c r="E169">
        <v>39</v>
      </c>
      <c r="F169">
        <v>799</v>
      </c>
      <c r="G169">
        <v>458.04</v>
      </c>
      <c r="H169">
        <v>31161</v>
      </c>
      <c r="I169">
        <v>13297.43</v>
      </c>
    </row>
    <row r="170" spans="1:9" x14ac:dyDescent="0.3">
      <c r="A170" s="1">
        <v>45325</v>
      </c>
      <c r="B170" t="s">
        <v>12</v>
      </c>
      <c r="C170" t="s">
        <v>10</v>
      </c>
      <c r="D170" t="s">
        <v>22</v>
      </c>
      <c r="E170">
        <v>22</v>
      </c>
      <c r="F170">
        <v>1441</v>
      </c>
      <c r="G170">
        <v>734.76</v>
      </c>
      <c r="H170">
        <v>31702</v>
      </c>
      <c r="I170">
        <v>15537.37</v>
      </c>
    </row>
    <row r="171" spans="1:9" x14ac:dyDescent="0.3">
      <c r="A171" s="1">
        <v>45302</v>
      </c>
      <c r="B171" t="s">
        <v>12</v>
      </c>
      <c r="C171" t="s">
        <v>13</v>
      </c>
      <c r="D171" t="s">
        <v>14</v>
      </c>
      <c r="E171">
        <v>12</v>
      </c>
      <c r="F171">
        <v>314</v>
      </c>
      <c r="G171">
        <v>197.83</v>
      </c>
      <c r="H171">
        <v>3768</v>
      </c>
      <c r="I171">
        <v>1394.04</v>
      </c>
    </row>
    <row r="172" spans="1:9" x14ac:dyDescent="0.3">
      <c r="A172" s="1">
        <v>45346</v>
      </c>
      <c r="B172" t="s">
        <v>9</v>
      </c>
      <c r="C172" t="s">
        <v>13</v>
      </c>
      <c r="D172" t="s">
        <v>18</v>
      </c>
      <c r="E172">
        <v>9</v>
      </c>
      <c r="F172">
        <v>500</v>
      </c>
      <c r="G172">
        <v>296</v>
      </c>
      <c r="H172">
        <v>4500</v>
      </c>
      <c r="I172">
        <v>1836.02</v>
      </c>
    </row>
    <row r="173" spans="1:9" x14ac:dyDescent="0.3">
      <c r="A173" s="1">
        <v>45322</v>
      </c>
      <c r="B173" t="s">
        <v>15</v>
      </c>
      <c r="C173" t="s">
        <v>10</v>
      </c>
      <c r="D173" t="s">
        <v>16</v>
      </c>
      <c r="E173">
        <v>41</v>
      </c>
      <c r="F173">
        <v>598</v>
      </c>
      <c r="G173">
        <v>387.66</v>
      </c>
      <c r="H173">
        <v>24518</v>
      </c>
      <c r="I173">
        <v>8623.7900000000009</v>
      </c>
    </row>
    <row r="174" spans="1:9" x14ac:dyDescent="0.3">
      <c r="A174" s="1">
        <v>45331</v>
      </c>
      <c r="B174" t="s">
        <v>17</v>
      </c>
      <c r="C174" t="s">
        <v>20</v>
      </c>
      <c r="D174" t="s">
        <v>18</v>
      </c>
      <c r="E174">
        <v>25</v>
      </c>
      <c r="F174">
        <v>1632</v>
      </c>
      <c r="G174">
        <v>906.57</v>
      </c>
      <c r="H174">
        <v>40800</v>
      </c>
      <c r="I174">
        <v>18135.740000000002</v>
      </c>
    </row>
    <row r="175" spans="1:9" x14ac:dyDescent="0.3">
      <c r="A175" s="1">
        <v>45335</v>
      </c>
      <c r="B175" t="s">
        <v>17</v>
      </c>
      <c r="C175" t="s">
        <v>20</v>
      </c>
      <c r="D175" t="s">
        <v>16</v>
      </c>
      <c r="E175">
        <v>4</v>
      </c>
      <c r="F175">
        <v>1540</v>
      </c>
      <c r="G175">
        <v>994.34</v>
      </c>
      <c r="H175">
        <v>6160</v>
      </c>
      <c r="I175">
        <v>2182.63</v>
      </c>
    </row>
    <row r="176" spans="1:9" x14ac:dyDescent="0.3">
      <c r="A176" s="1">
        <v>45323</v>
      </c>
      <c r="B176" t="s">
        <v>9</v>
      </c>
      <c r="C176" t="s">
        <v>21</v>
      </c>
      <c r="D176" t="s">
        <v>14</v>
      </c>
      <c r="E176">
        <v>8</v>
      </c>
      <c r="F176">
        <v>522</v>
      </c>
      <c r="G176">
        <v>398.85</v>
      </c>
      <c r="H176">
        <v>4176</v>
      </c>
      <c r="I176">
        <v>985.18</v>
      </c>
    </row>
    <row r="177" spans="1:9" x14ac:dyDescent="0.3">
      <c r="A177" s="1">
        <v>45329</v>
      </c>
      <c r="B177" t="s">
        <v>12</v>
      </c>
      <c r="C177" t="s">
        <v>13</v>
      </c>
      <c r="D177" t="s">
        <v>14</v>
      </c>
      <c r="E177">
        <v>23</v>
      </c>
      <c r="F177">
        <v>732</v>
      </c>
      <c r="G177">
        <v>555.74</v>
      </c>
      <c r="H177">
        <v>16836</v>
      </c>
      <c r="I177">
        <v>4053.95</v>
      </c>
    </row>
    <row r="178" spans="1:9" x14ac:dyDescent="0.3">
      <c r="A178" s="1">
        <v>45324</v>
      </c>
      <c r="B178" t="s">
        <v>15</v>
      </c>
      <c r="C178" t="s">
        <v>10</v>
      </c>
      <c r="D178" t="s">
        <v>16</v>
      </c>
      <c r="E178">
        <v>22</v>
      </c>
      <c r="F178">
        <v>1178</v>
      </c>
      <c r="G178">
        <v>678.62</v>
      </c>
      <c r="H178">
        <v>25916</v>
      </c>
      <c r="I178">
        <v>10986.41</v>
      </c>
    </row>
    <row r="179" spans="1:9" x14ac:dyDescent="0.3">
      <c r="A179" s="1">
        <v>45341</v>
      </c>
      <c r="B179" t="s">
        <v>12</v>
      </c>
      <c r="C179" t="s">
        <v>10</v>
      </c>
      <c r="D179" t="s">
        <v>16</v>
      </c>
      <c r="E179">
        <v>22</v>
      </c>
      <c r="F179">
        <v>1816</v>
      </c>
      <c r="G179">
        <v>1412.25</v>
      </c>
      <c r="H179">
        <v>39952</v>
      </c>
      <c r="I179">
        <v>8882.39</v>
      </c>
    </row>
    <row r="180" spans="1:9" x14ac:dyDescent="0.3">
      <c r="A180" s="1">
        <v>45306</v>
      </c>
      <c r="B180" t="s">
        <v>17</v>
      </c>
      <c r="C180" t="s">
        <v>20</v>
      </c>
      <c r="D180" t="s">
        <v>22</v>
      </c>
      <c r="E180">
        <v>7</v>
      </c>
      <c r="F180">
        <v>1535</v>
      </c>
      <c r="G180">
        <v>845.88</v>
      </c>
      <c r="H180">
        <v>10745</v>
      </c>
      <c r="I180">
        <v>4823.8599999999997</v>
      </c>
    </row>
    <row r="181" spans="1:9" x14ac:dyDescent="0.3">
      <c r="A181" s="1">
        <v>45329</v>
      </c>
      <c r="B181" t="s">
        <v>19</v>
      </c>
      <c r="C181" t="s">
        <v>13</v>
      </c>
      <c r="D181" t="s">
        <v>16</v>
      </c>
      <c r="E181">
        <v>31</v>
      </c>
      <c r="F181">
        <v>1854</v>
      </c>
      <c r="G181">
        <v>1263.02</v>
      </c>
      <c r="H181">
        <v>57474</v>
      </c>
      <c r="I181">
        <v>18320.53</v>
      </c>
    </row>
    <row r="182" spans="1:9" x14ac:dyDescent="0.3">
      <c r="A182" s="1">
        <v>45316</v>
      </c>
      <c r="B182" t="s">
        <v>9</v>
      </c>
      <c r="C182" t="s">
        <v>21</v>
      </c>
      <c r="D182" t="s">
        <v>18</v>
      </c>
      <c r="E182">
        <v>33</v>
      </c>
      <c r="F182">
        <v>1387</v>
      </c>
      <c r="G182">
        <v>714.34</v>
      </c>
      <c r="H182">
        <v>45771</v>
      </c>
      <c r="I182">
        <v>22197.88</v>
      </c>
    </row>
    <row r="183" spans="1:9" x14ac:dyDescent="0.3">
      <c r="A183" s="1">
        <v>45333</v>
      </c>
      <c r="B183" t="s">
        <v>12</v>
      </c>
      <c r="C183" t="s">
        <v>21</v>
      </c>
      <c r="D183" t="s">
        <v>16</v>
      </c>
      <c r="E183">
        <v>18</v>
      </c>
      <c r="F183">
        <v>532</v>
      </c>
      <c r="G183">
        <v>309.60000000000002</v>
      </c>
      <c r="H183">
        <v>9576</v>
      </c>
      <c r="I183">
        <v>4003.29</v>
      </c>
    </row>
    <row r="184" spans="1:9" x14ac:dyDescent="0.3">
      <c r="A184" s="1">
        <v>45350</v>
      </c>
      <c r="B184" t="s">
        <v>9</v>
      </c>
      <c r="C184" t="s">
        <v>21</v>
      </c>
      <c r="D184" t="s">
        <v>11</v>
      </c>
      <c r="E184">
        <v>47</v>
      </c>
      <c r="F184">
        <v>607</v>
      </c>
      <c r="G184">
        <v>334.18</v>
      </c>
      <c r="H184">
        <v>28529</v>
      </c>
      <c r="I184">
        <v>12822.52</v>
      </c>
    </row>
    <row r="185" spans="1:9" x14ac:dyDescent="0.3">
      <c r="A185" s="1">
        <v>45343</v>
      </c>
      <c r="B185" t="s">
        <v>15</v>
      </c>
      <c r="C185" t="s">
        <v>10</v>
      </c>
      <c r="D185" t="s">
        <v>18</v>
      </c>
      <c r="E185">
        <v>28</v>
      </c>
      <c r="F185">
        <v>1512</v>
      </c>
      <c r="G185">
        <v>1140.27</v>
      </c>
      <c r="H185">
        <v>42336</v>
      </c>
      <c r="I185">
        <v>10408.299999999999</v>
      </c>
    </row>
    <row r="186" spans="1:9" x14ac:dyDescent="0.3">
      <c r="A186" s="1">
        <v>45314</v>
      </c>
      <c r="B186" t="s">
        <v>9</v>
      </c>
      <c r="C186" t="s">
        <v>13</v>
      </c>
      <c r="D186" t="s">
        <v>14</v>
      </c>
      <c r="E186">
        <v>22</v>
      </c>
      <c r="F186">
        <v>815</v>
      </c>
      <c r="G186">
        <v>557.78</v>
      </c>
      <c r="H186">
        <v>17930</v>
      </c>
      <c r="I186">
        <v>5658.92</v>
      </c>
    </row>
    <row r="187" spans="1:9" x14ac:dyDescent="0.3">
      <c r="A187" s="1">
        <v>45342</v>
      </c>
      <c r="B187" t="s">
        <v>17</v>
      </c>
      <c r="C187" t="s">
        <v>10</v>
      </c>
      <c r="D187" t="s">
        <v>22</v>
      </c>
      <c r="E187">
        <v>3</v>
      </c>
      <c r="F187">
        <v>1739</v>
      </c>
      <c r="G187">
        <v>1011.73</v>
      </c>
      <c r="H187">
        <v>5217</v>
      </c>
      <c r="I187">
        <v>2181.8000000000002</v>
      </c>
    </row>
    <row r="188" spans="1:9" x14ac:dyDescent="0.3">
      <c r="A188" s="1">
        <v>45309</v>
      </c>
      <c r="B188" t="s">
        <v>19</v>
      </c>
      <c r="C188" t="s">
        <v>21</v>
      </c>
      <c r="D188" t="s">
        <v>14</v>
      </c>
      <c r="E188">
        <v>25</v>
      </c>
      <c r="F188">
        <v>326</v>
      </c>
      <c r="G188">
        <v>176.87</v>
      </c>
      <c r="H188">
        <v>8150</v>
      </c>
      <c r="I188">
        <v>3728.32</v>
      </c>
    </row>
    <row r="189" spans="1:9" x14ac:dyDescent="0.3">
      <c r="A189" s="1">
        <v>45303</v>
      </c>
      <c r="B189" t="s">
        <v>15</v>
      </c>
      <c r="C189" t="s">
        <v>10</v>
      </c>
      <c r="D189" t="s">
        <v>16</v>
      </c>
      <c r="E189">
        <v>29</v>
      </c>
      <c r="F189">
        <v>1731</v>
      </c>
      <c r="G189">
        <v>1217.44</v>
      </c>
      <c r="H189">
        <v>50199</v>
      </c>
      <c r="I189">
        <v>14893.38</v>
      </c>
    </row>
    <row r="190" spans="1:9" x14ac:dyDescent="0.3">
      <c r="A190" s="1">
        <v>45305</v>
      </c>
      <c r="B190" t="s">
        <v>12</v>
      </c>
      <c r="C190" t="s">
        <v>20</v>
      </c>
      <c r="D190" t="s">
        <v>16</v>
      </c>
      <c r="E190">
        <v>7</v>
      </c>
      <c r="F190">
        <v>206</v>
      </c>
      <c r="G190">
        <v>161.21</v>
      </c>
      <c r="H190">
        <v>1442</v>
      </c>
      <c r="I190">
        <v>313.52999999999997</v>
      </c>
    </row>
    <row r="191" spans="1:9" x14ac:dyDescent="0.3">
      <c r="A191" s="1">
        <v>45308</v>
      </c>
      <c r="B191" t="s">
        <v>12</v>
      </c>
      <c r="C191" t="s">
        <v>10</v>
      </c>
      <c r="D191" t="s">
        <v>18</v>
      </c>
      <c r="E191">
        <v>20</v>
      </c>
      <c r="F191">
        <v>291</v>
      </c>
      <c r="G191">
        <v>178.93</v>
      </c>
      <c r="H191">
        <v>5820</v>
      </c>
      <c r="I191">
        <v>2241.34</v>
      </c>
    </row>
    <row r="192" spans="1:9" x14ac:dyDescent="0.3">
      <c r="A192" s="1">
        <v>45335</v>
      </c>
      <c r="B192" t="s">
        <v>12</v>
      </c>
      <c r="C192" t="s">
        <v>21</v>
      </c>
      <c r="D192" t="s">
        <v>11</v>
      </c>
      <c r="E192">
        <v>47</v>
      </c>
      <c r="F192">
        <v>855</v>
      </c>
      <c r="G192">
        <v>615.80999999999995</v>
      </c>
      <c r="H192">
        <v>40185</v>
      </c>
      <c r="I192">
        <v>11242.06</v>
      </c>
    </row>
    <row r="193" spans="1:9" x14ac:dyDescent="0.3">
      <c r="A193" s="1">
        <v>45323</v>
      </c>
      <c r="B193" t="s">
        <v>12</v>
      </c>
      <c r="C193" t="s">
        <v>10</v>
      </c>
      <c r="D193" t="s">
        <v>14</v>
      </c>
      <c r="E193">
        <v>8</v>
      </c>
      <c r="F193">
        <v>1075</v>
      </c>
      <c r="G193">
        <v>808.74</v>
      </c>
      <c r="H193">
        <v>8600</v>
      </c>
      <c r="I193">
        <v>2130.08</v>
      </c>
    </row>
    <row r="194" spans="1:9" x14ac:dyDescent="0.3">
      <c r="A194" s="1">
        <v>45306</v>
      </c>
      <c r="B194" t="s">
        <v>19</v>
      </c>
      <c r="C194" t="s">
        <v>10</v>
      </c>
      <c r="D194" t="s">
        <v>11</v>
      </c>
      <c r="E194">
        <v>13</v>
      </c>
      <c r="F194">
        <v>665</v>
      </c>
      <c r="G194">
        <v>403.39</v>
      </c>
      <c r="H194">
        <v>8645</v>
      </c>
      <c r="I194">
        <v>3400.95</v>
      </c>
    </row>
    <row r="195" spans="1:9" x14ac:dyDescent="0.3">
      <c r="A195" s="1">
        <v>45293</v>
      </c>
      <c r="B195" t="s">
        <v>9</v>
      </c>
      <c r="C195" t="s">
        <v>20</v>
      </c>
      <c r="D195" t="s">
        <v>14</v>
      </c>
      <c r="E195">
        <v>26</v>
      </c>
      <c r="F195">
        <v>1891</v>
      </c>
      <c r="G195">
        <v>1265.81</v>
      </c>
      <c r="H195">
        <v>49166</v>
      </c>
      <c r="I195">
        <v>16255</v>
      </c>
    </row>
    <row r="196" spans="1:9" x14ac:dyDescent="0.3">
      <c r="A196" s="1">
        <v>45295</v>
      </c>
      <c r="B196" t="s">
        <v>9</v>
      </c>
      <c r="C196" t="s">
        <v>21</v>
      </c>
      <c r="D196" t="s">
        <v>22</v>
      </c>
      <c r="E196">
        <v>46</v>
      </c>
      <c r="F196">
        <v>1386</v>
      </c>
      <c r="G196">
        <v>810.58</v>
      </c>
      <c r="H196">
        <v>63756</v>
      </c>
      <c r="I196">
        <v>26469.3</v>
      </c>
    </row>
    <row r="197" spans="1:9" x14ac:dyDescent="0.3">
      <c r="A197" s="1">
        <v>45300</v>
      </c>
      <c r="B197" t="s">
        <v>12</v>
      </c>
      <c r="C197" t="s">
        <v>21</v>
      </c>
      <c r="D197" t="s">
        <v>22</v>
      </c>
      <c r="E197">
        <v>3</v>
      </c>
      <c r="F197">
        <v>1351</v>
      </c>
      <c r="G197">
        <v>1058.8599999999999</v>
      </c>
      <c r="H197">
        <v>4053</v>
      </c>
      <c r="I197">
        <v>876.41</v>
      </c>
    </row>
    <row r="198" spans="1:9" x14ac:dyDescent="0.3">
      <c r="A198" s="1">
        <v>45317</v>
      </c>
      <c r="B198" t="s">
        <v>12</v>
      </c>
      <c r="C198" t="s">
        <v>13</v>
      </c>
      <c r="D198" t="s">
        <v>14</v>
      </c>
      <c r="E198">
        <v>31</v>
      </c>
      <c r="F198">
        <v>1435</v>
      </c>
      <c r="G198">
        <v>954.92</v>
      </c>
      <c r="H198">
        <v>44485</v>
      </c>
      <c r="I198">
        <v>14882.36</v>
      </c>
    </row>
    <row r="199" spans="1:9" x14ac:dyDescent="0.3">
      <c r="A199" s="1">
        <v>45348</v>
      </c>
      <c r="B199" t="s">
        <v>12</v>
      </c>
      <c r="C199" t="s">
        <v>13</v>
      </c>
      <c r="D199" t="s">
        <v>18</v>
      </c>
      <c r="E199">
        <v>17</v>
      </c>
      <c r="F199">
        <v>214</v>
      </c>
      <c r="G199">
        <v>146</v>
      </c>
      <c r="H199">
        <v>3638</v>
      </c>
      <c r="I199">
        <v>1156.02</v>
      </c>
    </row>
    <row r="200" spans="1:9" x14ac:dyDescent="0.3">
      <c r="A200" s="1">
        <v>45332</v>
      </c>
      <c r="B200" t="s">
        <v>19</v>
      </c>
      <c r="C200" t="s">
        <v>21</v>
      </c>
      <c r="D200" t="s">
        <v>11</v>
      </c>
      <c r="E200">
        <v>45</v>
      </c>
      <c r="F200">
        <v>905</v>
      </c>
      <c r="G200">
        <v>714.21</v>
      </c>
      <c r="H200">
        <v>40725</v>
      </c>
      <c r="I200">
        <v>8585.5</v>
      </c>
    </row>
    <row r="201" spans="1:9" x14ac:dyDescent="0.3">
      <c r="A201" s="1">
        <v>45313</v>
      </c>
      <c r="B201" t="s">
        <v>9</v>
      </c>
      <c r="C201" t="s">
        <v>20</v>
      </c>
      <c r="D201" t="s">
        <v>11</v>
      </c>
      <c r="E201">
        <v>35</v>
      </c>
      <c r="F201">
        <v>1662</v>
      </c>
      <c r="G201">
        <v>923.31</v>
      </c>
      <c r="H201">
        <v>58170</v>
      </c>
      <c r="I201">
        <v>25854.14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Prakash ML</dc:creator>
  <cp:lastModifiedBy>Prakash ML</cp:lastModifiedBy>
  <dcterms:created xsi:type="dcterms:W3CDTF">2025-02-19T09:28:20Z</dcterms:created>
  <dcterms:modified xsi:type="dcterms:W3CDTF">2025-02-25T14:41:50Z</dcterms:modified>
</cp:coreProperties>
</file>